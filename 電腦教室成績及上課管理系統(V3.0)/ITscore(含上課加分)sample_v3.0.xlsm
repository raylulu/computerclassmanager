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1.xml" ContentType="application/vnd.ms-office.activeX+xml"/>
  <Override PartName="/xl/drawings/drawing6.xml" ContentType="application/vnd.openxmlformats-officedocument.drawing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4000" windowHeight="9690" tabRatio="683" activeTab="5"/>
  </bookViews>
  <sheets>
    <sheet name="開班及使用說明" sheetId="59" r:id="rId1"/>
    <sheet name="學生電腦設定" sheetId="58" r:id="rId2"/>
    <sheet name="sample" sheetId="61" r:id="rId3"/>
    <sheet name="sample上課表現" sheetId="62" r:id="rId4"/>
    <sheet name="sample座位表" sheetId="63" r:id="rId5"/>
    <sheet name="上課表現記錄" sheetId="64" r:id="rId6"/>
  </sheets>
  <definedNames>
    <definedName name="_xlnm._FilterDatabase" localSheetId="5" hidden="1">上課表現記錄!$B$2:$B$5</definedName>
  </definedNames>
  <calcPr calcId="145621"/>
</workbook>
</file>

<file path=xl/calcChain.xml><?xml version="1.0" encoding="utf-8"?>
<calcChain xmlns="http://schemas.openxmlformats.org/spreadsheetml/2006/main">
  <c r="AA7" i="62" l="1"/>
  <c r="AD7" i="62" s="1"/>
  <c r="Y20" i="61" l="1"/>
  <c r="Z20" i="61"/>
  <c r="Y21" i="61"/>
  <c r="Z21" i="61"/>
  <c r="D23" i="62"/>
  <c r="A3" i="63"/>
  <c r="D21" i="62"/>
  <c r="C22" i="62"/>
  <c r="C20" i="62"/>
  <c r="C3" i="63"/>
  <c r="D19" i="62"/>
  <c r="D22" i="62"/>
  <c r="C19" i="62"/>
  <c r="D20" i="62"/>
  <c r="C21" i="62"/>
  <c r="C23" i="62"/>
  <c r="AA20" i="61" l="1"/>
  <c r="AD20" i="62"/>
  <c r="AA21" i="62"/>
  <c r="AD21" i="62" s="1"/>
  <c r="AA19" i="62"/>
  <c r="AD19" i="62" s="1"/>
  <c r="AA22" i="62"/>
  <c r="AD22" i="62" s="1"/>
  <c r="AA23" i="62"/>
  <c r="AD23" i="62" s="1"/>
  <c r="AA20" i="62"/>
  <c r="AA21" i="61"/>
  <c r="C5" i="62"/>
  <c r="C29" i="62"/>
  <c r="C6" i="62"/>
  <c r="C14" i="62"/>
  <c r="C15" i="62"/>
  <c r="C18" i="62"/>
  <c r="C13" i="62"/>
  <c r="C16" i="62"/>
  <c r="C28" i="62"/>
  <c r="C25" i="62"/>
  <c r="C4" i="62"/>
  <c r="C12" i="62"/>
  <c r="C9" i="62"/>
  <c r="C36" i="62"/>
  <c r="C11" i="62"/>
  <c r="C33" i="62"/>
  <c r="C24" i="62"/>
  <c r="C26" i="62"/>
  <c r="C38" i="62"/>
  <c r="C27" i="62"/>
  <c r="C34" i="62"/>
  <c r="B3" i="63"/>
  <c r="C8" i="62"/>
  <c r="C31" i="62"/>
  <c r="C19" i="63"/>
  <c r="C35" i="62"/>
  <c r="C17" i="62"/>
  <c r="C39" i="62"/>
  <c r="C30" i="62"/>
  <c r="C10" i="62"/>
  <c r="C37" i="62"/>
  <c r="C32" i="62"/>
  <c r="C7" i="62"/>
  <c r="Z39" i="61" l="1"/>
  <c r="Y39" i="61"/>
  <c r="AA39" i="61" s="1"/>
  <c r="Z38" i="61"/>
  <c r="Y38" i="61"/>
  <c r="AA38" i="61" s="1"/>
  <c r="Z37" i="61"/>
  <c r="Y37" i="61"/>
  <c r="Z36" i="61"/>
  <c r="Y36" i="61"/>
  <c r="AA36" i="61" s="1"/>
  <c r="Z35" i="61"/>
  <c r="Y35" i="61"/>
  <c r="Z34" i="61"/>
  <c r="Y34" i="61"/>
  <c r="AA34" i="61" s="1"/>
  <c r="Z33" i="61"/>
  <c r="Y33" i="61"/>
  <c r="Z32" i="61"/>
  <c r="Y32" i="61"/>
  <c r="AA32" i="61" s="1"/>
  <c r="Z31" i="61"/>
  <c r="Y31" i="61"/>
  <c r="Z30" i="61"/>
  <c r="Y30" i="61"/>
  <c r="AA30" i="61" s="1"/>
  <c r="Z29" i="61"/>
  <c r="Y29" i="61"/>
  <c r="Z28" i="61"/>
  <c r="Y28" i="61"/>
  <c r="Z27" i="61"/>
  <c r="Y27" i="61"/>
  <c r="AA27" i="61" s="1"/>
  <c r="Z26" i="61"/>
  <c r="Y26" i="61"/>
  <c r="AA26" i="61" s="1"/>
  <c r="Z25" i="61"/>
  <c r="Y25" i="61"/>
  <c r="Z24" i="61"/>
  <c r="Y24" i="61"/>
  <c r="Z23" i="61"/>
  <c r="Y23" i="61"/>
  <c r="Z22" i="61"/>
  <c r="Y22" i="61"/>
  <c r="Z19" i="61"/>
  <c r="Y19" i="61"/>
  <c r="Z18" i="61"/>
  <c r="Y18" i="61"/>
  <c r="AA18" i="61" s="1"/>
  <c r="Z17" i="61"/>
  <c r="Y17" i="61"/>
  <c r="Z16" i="61"/>
  <c r="Y16" i="61"/>
  <c r="AA16" i="61" s="1"/>
  <c r="Z15" i="61"/>
  <c r="Y15" i="61"/>
  <c r="Z14" i="61"/>
  <c r="Y14" i="61"/>
  <c r="AA14" i="61" s="1"/>
  <c r="Z13" i="61"/>
  <c r="Y13" i="61"/>
  <c r="Z12" i="61"/>
  <c r="Y12" i="61"/>
  <c r="AA12" i="61" s="1"/>
  <c r="Z11" i="61"/>
  <c r="Y11" i="61"/>
  <c r="Z10" i="61"/>
  <c r="Y10" i="61"/>
  <c r="AA10" i="61" s="1"/>
  <c r="Z9" i="61"/>
  <c r="Y9" i="61"/>
  <c r="Z8" i="61"/>
  <c r="Y8" i="61"/>
  <c r="Z7" i="61"/>
  <c r="Y7" i="61"/>
  <c r="Z6" i="61"/>
  <c r="Y6" i="61"/>
  <c r="AA6" i="61" s="1"/>
  <c r="Z5" i="61"/>
  <c r="Y5" i="61"/>
  <c r="Z4" i="61"/>
  <c r="Y4" i="61"/>
  <c r="D38" i="62"/>
  <c r="D5" i="62"/>
  <c r="A13" i="63"/>
  <c r="B2" i="62"/>
  <c r="D4" i="62"/>
  <c r="D6" i="62"/>
  <c r="E1" i="62"/>
  <c r="D39" i="62"/>
  <c r="AA5" i="62" l="1"/>
  <c r="AD5" i="62" s="1"/>
  <c r="AA39" i="62"/>
  <c r="AD39" i="62" s="1"/>
  <c r="AA6" i="62"/>
  <c r="AD6" i="62" s="1"/>
  <c r="AA38" i="62"/>
  <c r="AD38" i="62" s="1"/>
  <c r="AA4" i="62"/>
  <c r="AD4" i="62" s="1"/>
  <c r="AA13" i="61"/>
  <c r="AA17" i="61"/>
  <c r="AA33" i="61"/>
  <c r="AA37" i="61"/>
  <c r="AA7" i="61"/>
  <c r="AA19" i="61"/>
  <c r="AA23" i="61"/>
  <c r="AA5" i="61"/>
  <c r="AA25" i="61"/>
  <c r="AA4" i="61"/>
  <c r="AA9" i="61"/>
  <c r="AA11" i="61"/>
  <c r="AA22" i="61"/>
  <c r="AA24" i="61"/>
  <c r="AA29" i="61"/>
  <c r="AA31" i="61"/>
  <c r="AA8" i="61"/>
  <c r="AA15" i="61"/>
  <c r="AA28" i="61"/>
  <c r="AA35" i="61"/>
  <c r="Z3" i="61"/>
  <c r="Y3" i="61"/>
  <c r="C4" i="59"/>
  <c r="C6" i="59"/>
  <c r="C16" i="59"/>
  <c r="C17" i="59"/>
  <c r="C18" i="59"/>
  <c r="C12" i="59"/>
  <c r="C13" i="59"/>
  <c r="C14" i="59"/>
  <c r="C9" i="59"/>
  <c r="C8" i="59"/>
  <c r="C11" i="59"/>
  <c r="C7" i="59"/>
  <c r="C15" i="59"/>
  <c r="C3" i="59"/>
  <c r="C5" i="59"/>
  <c r="C19" i="59"/>
  <c r="C20" i="59"/>
  <c r="C21" i="59"/>
  <c r="C22" i="59"/>
  <c r="C10" i="59"/>
  <c r="D26" i="62"/>
  <c r="D14" i="62"/>
  <c r="A19" i="63"/>
  <c r="D28" i="62"/>
  <c r="D13" i="62"/>
  <c r="D8" i="62"/>
  <c r="A17" i="63"/>
  <c r="D32" i="62"/>
  <c r="B5" i="63"/>
  <c r="D24" i="62"/>
  <c r="D15" i="62"/>
  <c r="D31" i="62"/>
  <c r="D33" i="62"/>
  <c r="D18" i="62"/>
  <c r="D16" i="62"/>
  <c r="D36" i="62"/>
  <c r="D25" i="62"/>
  <c r="D27" i="62"/>
  <c r="D35" i="62"/>
  <c r="D10" i="62"/>
  <c r="D37" i="62"/>
  <c r="D12" i="62"/>
  <c r="D30" i="62"/>
  <c r="D17" i="62"/>
  <c r="D3" i="63"/>
  <c r="D9" i="62"/>
  <c r="D11" i="62"/>
  <c r="D34" i="62"/>
  <c r="D29" i="62"/>
  <c r="AA29" i="62" l="1"/>
  <c r="AD29" i="62" s="1"/>
  <c r="AA36" i="62"/>
  <c r="AD36" i="62" s="1"/>
  <c r="AA24" i="62"/>
  <c r="AD24" i="62" s="1"/>
  <c r="AA25" i="62"/>
  <c r="AD25" i="62" s="1"/>
  <c r="AA33" i="62"/>
  <c r="AD33" i="62" s="1"/>
  <c r="AA11" i="62"/>
  <c r="AD11" i="62" s="1"/>
  <c r="AA27" i="62"/>
  <c r="AD27" i="62" s="1"/>
  <c r="AA12" i="62"/>
  <c r="AD12" i="62" s="1"/>
  <c r="AA14" i="62"/>
  <c r="AD14" i="62" s="1"/>
  <c r="AA9" i="62"/>
  <c r="AD9" i="62" s="1"/>
  <c r="AA28" i="62"/>
  <c r="AD28" i="62" s="1"/>
  <c r="AA18" i="62"/>
  <c r="AD18" i="62" s="1"/>
  <c r="AA34" i="62"/>
  <c r="AD34" i="62" s="1"/>
  <c r="AA17" i="62"/>
  <c r="AD17" i="62" s="1"/>
  <c r="AA13" i="62"/>
  <c r="AD13" i="62" s="1"/>
  <c r="AA35" i="62"/>
  <c r="AD35" i="62" s="1"/>
  <c r="AA26" i="62"/>
  <c r="AD26" i="62" s="1"/>
  <c r="AA30" i="62"/>
  <c r="AD30" i="62" s="1"/>
  <c r="AA10" i="62"/>
  <c r="AD10" i="62" s="1"/>
  <c r="AA32" i="62"/>
  <c r="AD32" i="62" s="1"/>
  <c r="AA15" i="62"/>
  <c r="AD15" i="62" s="1"/>
  <c r="AA8" i="62"/>
  <c r="AD8" i="62" s="1"/>
  <c r="AA31" i="62"/>
  <c r="AD31" i="62" s="1"/>
  <c r="AA37" i="62"/>
  <c r="AD37" i="62" s="1"/>
  <c r="AA16" i="62"/>
  <c r="AD16" i="62" s="1"/>
  <c r="AA3" i="61"/>
  <c r="A15" i="63"/>
  <c r="D9" i="63"/>
  <c r="D5" i="63"/>
  <c r="A7" i="63"/>
  <c r="B11" i="63"/>
  <c r="B17" i="63"/>
  <c r="B7" i="63"/>
  <c r="B13" i="63"/>
  <c r="C13" i="63"/>
  <c r="D17" i="63"/>
  <c r="C7" i="63"/>
  <c r="A11" i="63"/>
  <c r="D15" i="63"/>
  <c r="A5" i="63"/>
  <c r="D7" i="63"/>
  <c r="C9" i="63"/>
  <c r="B15" i="63"/>
  <c r="D19" i="63"/>
  <c r="C5" i="63"/>
  <c r="B9" i="63"/>
  <c r="C15" i="63"/>
  <c r="A9" i="63"/>
  <c r="C17" i="63"/>
  <c r="D11" i="63"/>
  <c r="D13" i="63"/>
  <c r="C11" i="63"/>
  <c r="B19" i="63"/>
</calcChain>
</file>

<file path=xl/sharedStrings.xml><?xml version="1.0" encoding="utf-8"?>
<sst xmlns="http://schemas.openxmlformats.org/spreadsheetml/2006/main" count="361" uniqueCount="212">
  <si>
    <t>座號</t>
    <phoneticPr fontId="18" type="noConversion"/>
  </si>
  <si>
    <t>姓名</t>
    <phoneticPr fontId="18" type="noConversion"/>
  </si>
  <si>
    <t>第一排</t>
    <phoneticPr fontId="18" type="noConversion"/>
  </si>
  <si>
    <t>第二排</t>
    <phoneticPr fontId="18" type="noConversion"/>
  </si>
  <si>
    <t>第三排</t>
    <phoneticPr fontId="18" type="noConversion"/>
  </si>
  <si>
    <t>第四排</t>
    <phoneticPr fontId="18" type="noConversion"/>
  </si>
  <si>
    <t>黑板</t>
    <phoneticPr fontId="18" type="noConversion"/>
  </si>
  <si>
    <t>積分</t>
    <phoneticPr fontId="18" type="noConversion"/>
  </si>
  <si>
    <t>結餘</t>
    <phoneticPr fontId="18" type="noConversion"/>
  </si>
  <si>
    <t>累計使用</t>
    <phoneticPr fontId="18" type="noConversion"/>
  </si>
  <si>
    <t>本次使用</t>
    <phoneticPr fontId="18" type="noConversion"/>
  </si>
  <si>
    <t>管理者帳號</t>
    <phoneticPr fontId="18" type="noConversion"/>
  </si>
  <si>
    <t>網域</t>
    <phoneticPr fontId="18" type="noConversion"/>
  </si>
  <si>
    <t>使用電腦IP</t>
    <phoneticPr fontId="18" type="noConversion"/>
  </si>
  <si>
    <t>mask</t>
    <phoneticPr fontId="18" type="noConversion"/>
  </si>
  <si>
    <t>gateway</t>
    <phoneticPr fontId="18" type="noConversion"/>
  </si>
  <si>
    <t>dns</t>
    <phoneticPr fontId="18" type="noConversion"/>
  </si>
  <si>
    <t>172.16.19.101</t>
    <phoneticPr fontId="18" type="noConversion"/>
  </si>
  <si>
    <t>255.255.0.0</t>
    <phoneticPr fontId="18" type="noConversion"/>
  </si>
  <si>
    <t>172.16.1.23</t>
    <phoneticPr fontId="18" type="noConversion"/>
  </si>
  <si>
    <t>172.16.19.102</t>
  </si>
  <si>
    <t>172.16.19.103</t>
  </si>
  <si>
    <t>172.16.19.104</t>
  </si>
  <si>
    <t>172.16.19.105</t>
  </si>
  <si>
    <t>172.16.19.106</t>
  </si>
  <si>
    <t>172.16.19.107</t>
  </si>
  <si>
    <t>172.16.19.108</t>
  </si>
  <si>
    <t>172.16.19.109</t>
  </si>
  <si>
    <t>172.16.19.110</t>
  </si>
  <si>
    <t>172.16.19.111</t>
  </si>
  <si>
    <t>172.16.19.112</t>
  </si>
  <si>
    <t>172.16.19.113</t>
  </si>
  <si>
    <t>172.16.19.114</t>
  </si>
  <si>
    <t>172.16.19.115</t>
  </si>
  <si>
    <t>172.16.19.116</t>
  </si>
  <si>
    <t>172.16.19.117</t>
  </si>
  <si>
    <t>172.16.19.118</t>
  </si>
  <si>
    <t>172.16.19.119</t>
  </si>
  <si>
    <t>172.16.19.120</t>
  </si>
  <si>
    <t>172.16.19.121</t>
  </si>
  <si>
    <t>172.16.19.122</t>
  </si>
  <si>
    <t>172.16.19.123</t>
  </si>
  <si>
    <t>172.16.19.124</t>
  </si>
  <si>
    <t>172.16.19.125</t>
  </si>
  <si>
    <t>172.16.19.126</t>
  </si>
  <si>
    <t>172.16.19.127</t>
  </si>
  <si>
    <t>172.16.19.128</t>
  </si>
  <si>
    <t>172.16.19.129</t>
  </si>
  <si>
    <t>172.16.19.130</t>
  </si>
  <si>
    <t>172.16.19.131</t>
  </si>
  <si>
    <t>172.16.19.132</t>
  </si>
  <si>
    <t>172.16.19.133</t>
  </si>
  <si>
    <t>172.16.19.134</t>
  </si>
  <si>
    <t>172.16.19.135</t>
  </si>
  <si>
    <t>172.16.19.136</t>
  </si>
  <si>
    <t>172.16.1.23</t>
    <phoneticPr fontId="18" type="noConversion"/>
  </si>
  <si>
    <t>電腦教室上課管理系統設定</t>
    <phoneticPr fontId="18" type="noConversion"/>
  </si>
  <si>
    <t>備用電腦1</t>
    <phoneticPr fontId="18" type="noConversion"/>
  </si>
  <si>
    <t>備用電腦2</t>
  </si>
  <si>
    <t>備用電腦3</t>
  </si>
  <si>
    <t>備用電腦4</t>
  </si>
  <si>
    <t>172.16.1.253</t>
    <phoneticPr fontId="18" type="noConversion"/>
  </si>
  <si>
    <t>備註</t>
    <phoneticPr fontId="18" type="noConversion"/>
  </si>
  <si>
    <t>gatewaynum</t>
    <phoneticPr fontId="18" type="noConversion"/>
  </si>
  <si>
    <t>pstools下載</t>
    <phoneticPr fontId="18" type="noConversion"/>
  </si>
  <si>
    <t>臺北市石牌國民小學104學年度上學期學期成績(導師：王大頭)</t>
    <phoneticPr fontId="18" type="noConversion"/>
  </si>
  <si>
    <t xml:space="preserve">           週次
日期(月/日)</t>
    <phoneticPr fontId="18" type="noConversion"/>
  </si>
  <si>
    <t>班級</t>
    <phoneticPr fontId="18" type="noConversion"/>
  </si>
  <si>
    <t>代號(自動產生)</t>
    <phoneticPr fontId="18" type="noConversion"/>
  </si>
  <si>
    <t>備註</t>
    <phoneticPr fontId="18" type="noConversion"/>
  </si>
  <si>
    <t>年段</t>
    <phoneticPr fontId="18" type="noConversion"/>
  </si>
  <si>
    <t>第三組</t>
    <phoneticPr fontId="18" type="noConversion"/>
  </si>
  <si>
    <t>第四組</t>
    <phoneticPr fontId="18" type="noConversion"/>
  </si>
  <si>
    <t>1-1</t>
    <phoneticPr fontId="18" type="noConversion"/>
  </si>
  <si>
    <t>2-2</t>
  </si>
  <si>
    <t>3-3</t>
  </si>
  <si>
    <t>4-4</t>
  </si>
  <si>
    <t>1-1</t>
    <phoneticPr fontId="18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</si>
  <si>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</si>
  <si>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</si>
  <si>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</si>
  <si>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</si>
  <si>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</si>
  <si>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</si>
  <si>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</si>
  <si>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8" type="noConversion"/>
  </si>
  <si>
    <t>2-3</t>
  </si>
  <si>
    <t>2-4</t>
  </si>
  <si>
    <t>2-5</t>
  </si>
  <si>
    <t>2-6</t>
  </si>
  <si>
    <t>2-7</t>
  </si>
  <si>
    <t>2-8</t>
  </si>
  <si>
    <t>3-2</t>
  </si>
  <si>
    <t>3-4</t>
  </si>
  <si>
    <t>3-5</t>
  </si>
  <si>
    <t>3-6</t>
  </si>
  <si>
    <t>3-7</t>
  </si>
  <si>
    <t>3-8</t>
  </si>
  <si>
    <t>4-1</t>
    <phoneticPr fontId="18" type="noConversion"/>
  </si>
  <si>
    <t>4-2</t>
  </si>
  <si>
    <t>4-3</t>
  </si>
  <si>
    <t>4-5</t>
  </si>
  <si>
    <t>4-6</t>
  </si>
  <si>
    <t>4-7</t>
  </si>
  <si>
    <t>4-8</t>
  </si>
  <si>
    <t>電腦位置
(排-個)</t>
    <phoneticPr fontId="18" type="noConversion"/>
  </si>
  <si>
    <t>2-1</t>
    <phoneticPr fontId="18" type="noConversion"/>
  </si>
  <si>
    <t>1-8</t>
    <phoneticPr fontId="18" type="noConversion"/>
  </si>
  <si>
    <t>3-1</t>
    <phoneticPr fontId="18" type="noConversion"/>
  </si>
  <si>
    <t>4-1</t>
    <phoneticPr fontId="18" type="noConversion"/>
  </si>
  <si>
    <t>座號</t>
    <phoneticPr fontId="18" type="noConversion"/>
  </si>
  <si>
    <t>使用
電腦
(座位)
(排-個)</t>
    <phoneticPr fontId="18" type="noConversion"/>
  </si>
  <si>
    <t>tt</t>
    <phoneticPr fontId="18" type="noConversion"/>
  </si>
  <si>
    <t>1-9</t>
    <phoneticPr fontId="18" type="noConversion"/>
  </si>
  <si>
    <t>1-8</t>
    <phoneticPr fontId="18" type="noConversion"/>
  </si>
  <si>
    <t>1-7</t>
    <phoneticPr fontId="18" type="noConversion"/>
  </si>
  <si>
    <t>1-6</t>
    <phoneticPr fontId="18" type="noConversion"/>
  </si>
  <si>
    <t>1-5</t>
    <phoneticPr fontId="18" type="noConversion"/>
  </si>
  <si>
    <t>1-4</t>
    <phoneticPr fontId="18" type="noConversion"/>
  </si>
  <si>
    <t>1-3</t>
    <phoneticPr fontId="18" type="noConversion"/>
  </si>
  <si>
    <t>1-2</t>
    <phoneticPr fontId="18" type="noConversion"/>
  </si>
  <si>
    <t>1-1</t>
    <phoneticPr fontId="18" type="noConversion"/>
  </si>
  <si>
    <t>2-9</t>
    <phoneticPr fontId="18" type="noConversion"/>
  </si>
  <si>
    <t>2-8</t>
    <phoneticPr fontId="18" type="noConversion"/>
  </si>
  <si>
    <t>2-7</t>
    <phoneticPr fontId="18" type="noConversion"/>
  </si>
  <si>
    <t>2-6</t>
    <phoneticPr fontId="18" type="noConversion"/>
  </si>
  <si>
    <t>2-5</t>
    <phoneticPr fontId="18" type="noConversion"/>
  </si>
  <si>
    <t>2-4</t>
    <phoneticPr fontId="18" type="noConversion"/>
  </si>
  <si>
    <t>2-3</t>
    <phoneticPr fontId="18" type="noConversion"/>
  </si>
  <si>
    <t>2-2</t>
    <phoneticPr fontId="18" type="noConversion"/>
  </si>
  <si>
    <t>2-1</t>
    <phoneticPr fontId="18" type="noConversion"/>
  </si>
  <si>
    <t>3-9</t>
    <phoneticPr fontId="18" type="noConversion"/>
  </si>
  <si>
    <t>3-8</t>
    <phoneticPr fontId="18" type="noConversion"/>
  </si>
  <si>
    <t>3-7</t>
    <phoneticPr fontId="18" type="noConversion"/>
  </si>
  <si>
    <t>3-6</t>
    <phoneticPr fontId="18" type="noConversion"/>
  </si>
  <si>
    <t>3-5</t>
    <phoneticPr fontId="18" type="noConversion"/>
  </si>
  <si>
    <t>3-4</t>
    <phoneticPr fontId="18" type="noConversion"/>
  </si>
  <si>
    <t>3-3</t>
    <phoneticPr fontId="18" type="noConversion"/>
  </si>
  <si>
    <t>3-2</t>
    <phoneticPr fontId="18" type="noConversion"/>
  </si>
  <si>
    <t>3-1</t>
    <phoneticPr fontId="18" type="noConversion"/>
  </si>
  <si>
    <t>4-9</t>
    <phoneticPr fontId="18" type="noConversion"/>
  </si>
  <si>
    <t>4-8</t>
    <phoneticPr fontId="18" type="noConversion"/>
  </si>
  <si>
    <t>4-7</t>
    <phoneticPr fontId="18" type="noConversion"/>
  </si>
  <si>
    <t>4-6</t>
    <phoneticPr fontId="18" type="noConversion"/>
  </si>
  <si>
    <t>4-5</t>
    <phoneticPr fontId="18" type="noConversion"/>
  </si>
  <si>
    <t>4-4</t>
    <phoneticPr fontId="18" type="noConversion"/>
  </si>
  <si>
    <t>4-3</t>
    <phoneticPr fontId="18" type="noConversion"/>
  </si>
  <si>
    <t>4-2</t>
    <phoneticPr fontId="18" type="noConversion"/>
  </si>
  <si>
    <t>4-1</t>
    <phoneticPr fontId="18" type="noConversion"/>
  </si>
  <si>
    <t>bin</t>
    <phoneticPr fontId="18" type="noConversion"/>
  </si>
  <si>
    <t xml:space="preserve">ken </t>
    <phoneticPr fontId="18" type="noConversion"/>
  </si>
  <si>
    <t>ten</t>
    <phoneticPr fontId="18" type="noConversion"/>
  </si>
  <si>
    <t>aen</t>
    <phoneticPr fontId="18" type="noConversion"/>
  </si>
  <si>
    <t>jen</t>
    <phoneticPr fontId="18" type="noConversion"/>
  </si>
  <si>
    <t>xen</t>
    <phoneticPr fontId="18" type="noConversion"/>
  </si>
  <si>
    <t>len</t>
    <phoneticPr fontId="18" type="noConversion"/>
  </si>
  <si>
    <t>yen</t>
    <phoneticPr fontId="18" type="noConversion"/>
  </si>
  <si>
    <t>gen</t>
    <phoneticPr fontId="18" type="noConversion"/>
  </si>
  <si>
    <t>hen</t>
    <phoneticPr fontId="18" type="noConversion"/>
  </si>
  <si>
    <t>den</t>
    <phoneticPr fontId="18" type="noConversion"/>
  </si>
  <si>
    <t>fen</t>
    <phoneticPr fontId="18" type="noConversion"/>
  </si>
  <si>
    <t xml:space="preserve">len </t>
    <phoneticPr fontId="18" type="noConversion"/>
  </si>
  <si>
    <t>qen</t>
    <phoneticPr fontId="18" type="noConversion"/>
  </si>
  <si>
    <t>pen</t>
    <phoneticPr fontId="18" type="noConversion"/>
  </si>
  <si>
    <t>姓名</t>
    <phoneticPr fontId="18" type="noConversion"/>
  </si>
  <si>
    <t>sample</t>
    <phoneticPr fontId="18" type="noConversion"/>
  </si>
  <si>
    <t>sample</t>
    <phoneticPr fontId="18" type="noConversion"/>
  </si>
  <si>
    <t>3-1</t>
    <phoneticPr fontId="18" type="noConversion"/>
  </si>
  <si>
    <t>3-3</t>
    <phoneticPr fontId="18" type="noConversion"/>
  </si>
  <si>
    <t>最近使用日期</t>
    <phoneticPr fontId="18" type="noConversion"/>
  </si>
  <si>
    <t>172.16.1.253</t>
  </si>
  <si>
    <t>1-3</t>
    <phoneticPr fontId="18" type="noConversion"/>
  </si>
  <si>
    <t>1-5</t>
    <phoneticPr fontId="18" type="noConversion"/>
  </si>
  <si>
    <t>二</t>
    <phoneticPr fontId="18" type="noConversion"/>
  </si>
  <si>
    <t>administrator</t>
    <phoneticPr fontId="18" type="noConversion"/>
  </si>
  <si>
    <t>spc3</t>
    <phoneticPr fontId="18" type="noConversion"/>
  </si>
  <si>
    <t>172.16.1.253</t>
    <phoneticPr fontId="18" type="noConversion"/>
  </si>
  <si>
    <t>172.16.1.253</t>
    <phoneticPr fontId="18" type="noConversion"/>
  </si>
  <si>
    <t>172.16.1.253</t>
    <phoneticPr fontId="18" type="noConversion"/>
  </si>
  <si>
    <t>172.16.1.253</t>
    <phoneticPr fontId="18" type="noConversion"/>
  </si>
  <si>
    <t>aen</t>
    <phoneticPr fontId="18" type="noConversion"/>
  </si>
  <si>
    <t>jen</t>
    <phoneticPr fontId="18" type="noConversion"/>
  </si>
  <si>
    <t>ien</t>
    <phoneticPr fontId="18" type="noConversion"/>
  </si>
  <si>
    <t>men</t>
    <phoneticPr fontId="18" type="noConversion"/>
  </si>
  <si>
    <t>nen</t>
    <phoneticPr fontId="18" type="noConversion"/>
  </si>
  <si>
    <t>pen</t>
    <phoneticPr fontId="18" type="noConversion"/>
  </si>
  <si>
    <t>qen</t>
    <phoneticPr fontId="18" type="noConversion"/>
  </si>
  <si>
    <t>ren</t>
    <phoneticPr fontId="18" type="noConversion"/>
  </si>
  <si>
    <t>sen</t>
    <phoneticPr fontId="18" type="noConversion"/>
  </si>
  <si>
    <t>uen</t>
    <phoneticPr fontId="18" type="noConversion"/>
  </si>
  <si>
    <t>ven</t>
    <phoneticPr fontId="18" type="noConversion"/>
  </si>
  <si>
    <t>xen</t>
    <phoneticPr fontId="18" type="noConversion"/>
  </si>
  <si>
    <t>yen</t>
    <phoneticPr fontId="18" type="noConversion"/>
  </si>
  <si>
    <t>zen</t>
    <phoneticPr fontId="18" type="noConversion"/>
  </si>
  <si>
    <t>cen</t>
    <phoneticPr fontId="18" type="noConversion"/>
  </si>
  <si>
    <t>den</t>
    <phoneticPr fontId="18" type="noConversion"/>
  </si>
  <si>
    <t>組別
(ex:第一組)</t>
    <phoneticPr fontId="18" type="noConversion"/>
  </si>
  <si>
    <t>第一組</t>
    <phoneticPr fontId="18" type="noConversion"/>
  </si>
  <si>
    <t>第五組</t>
    <phoneticPr fontId="18" type="noConversion"/>
  </si>
  <si>
    <t>第七組</t>
    <phoneticPr fontId="18" type="noConversion"/>
  </si>
  <si>
    <t>第八組</t>
    <phoneticPr fontId="18" type="noConversion"/>
  </si>
  <si>
    <t>第六組</t>
    <phoneticPr fontId="18" type="noConversion"/>
  </si>
  <si>
    <t>第二組</t>
    <phoneticPr fontId="18" type="noConversion"/>
  </si>
  <si>
    <t>三</t>
    <phoneticPr fontId="18" type="noConversion"/>
  </si>
  <si>
    <t>電腦教室授課班級一覽表</t>
    <phoneticPr fontId="18" type="noConversion"/>
  </si>
  <si>
    <t>編號</t>
  </si>
  <si>
    <t>班級</t>
  </si>
  <si>
    <t>上課日期</t>
  </si>
  <si>
    <t>上課進度</t>
  </si>
  <si>
    <t>打字進度</t>
  </si>
  <si>
    <t>備註</t>
  </si>
  <si>
    <t>上課表現記錄表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</si>
</sst>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00"/>
    <numFmt numFmtId="177" formatCode="m/d;@"/>
    <numFmt numFmtId="178" formatCode="m&quot;月&quot;d&quot;日&quot;"/>
  </numFmts>
  <fonts count="3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4"/>
      <color theme="1"/>
      <name val="華康流隸體"/>
      <family val="4"/>
      <charset val="136"/>
    </font>
    <font>
      <sz val="20"/>
      <color theme="1"/>
      <name val="華康POP1體W9"/>
      <family val="5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標楷體"/>
      <family val="4"/>
      <charset val="136"/>
    </font>
    <font>
      <sz val="11"/>
      <color rgb="FF000000"/>
      <name val="Arial"/>
      <family val="2"/>
    </font>
    <font>
      <sz val="12"/>
      <color theme="2" tint="-0.249977111117893"/>
      <name val="新細明體"/>
      <family val="2"/>
      <charset val="136"/>
      <scheme val="minor"/>
    </font>
    <font>
      <sz val="12"/>
      <color theme="2" tint="-0.249977111117893"/>
      <name val="新細明體"/>
      <family val="1"/>
      <charset val="136"/>
      <scheme val="minor"/>
    </font>
    <font>
      <sz val="20"/>
      <color rgb="FF006100"/>
      <name val="新細明體"/>
      <family val="2"/>
      <charset val="136"/>
      <scheme val="minor"/>
    </font>
    <font>
      <sz val="20"/>
      <color rgb="FF006100"/>
      <name val="新細明體"/>
      <family val="1"/>
      <charset val="136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0" fillId="0" borderId="0" xfId="0" applyFont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Border="1" applyAlignment="1">
      <alignment vertical="center"/>
    </xf>
    <xf numFmtId="176" fontId="0" fillId="0" borderId="0" xfId="0" applyNumberFormat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177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177" fontId="20" fillId="0" borderId="10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20" fillId="0" borderId="11" xfId="0" applyFont="1" applyBorder="1" applyAlignment="1">
      <alignment horizontal="center" vertical="center" wrapText="1"/>
    </xf>
    <xf numFmtId="0" fontId="8" fillId="4" borderId="10" xfId="8" applyBorder="1" applyAlignment="1">
      <alignment horizontal="center" vertical="center"/>
    </xf>
    <xf numFmtId="0" fontId="1" fillId="10" borderId="10" xfId="19" applyBorder="1" applyAlignment="1">
      <alignment horizontal="center" vertical="center"/>
    </xf>
    <xf numFmtId="0" fontId="17" fillId="16" borderId="10" xfId="25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4" fillId="0" borderId="0" xfId="42" applyAlignment="1">
      <alignment horizontal="center" vertical="center"/>
    </xf>
    <xf numFmtId="0" fontId="11" fillId="6" borderId="10" xfId="11" applyBorder="1" applyAlignment="1">
      <alignment horizontal="center" vertical="center"/>
    </xf>
    <xf numFmtId="49" fontId="0" fillId="8" borderId="10" xfId="15" applyNumberFormat="1" applyFont="1" applyBorder="1" applyAlignment="1">
      <alignment horizontal="center" vertical="center"/>
    </xf>
    <xf numFmtId="0" fontId="8" fillId="4" borderId="10" xfId="8" applyBorder="1" applyAlignment="1">
      <alignment horizontal="center" vertical="center" wrapText="1"/>
    </xf>
    <xf numFmtId="49" fontId="1" fillId="8" borderId="8" xfId="15" applyNumberFormat="1" applyAlignment="1">
      <alignment horizontal="center" vertical="center"/>
    </xf>
    <xf numFmtId="49" fontId="0" fillId="8" borderId="8" xfId="15" applyNumberFormat="1" applyFont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/>
      <protection locked="0"/>
    </xf>
    <xf numFmtId="0" fontId="26" fillId="0" borderId="10" xfId="0" applyFont="1" applyBorder="1" applyAlignment="1" applyProtection="1">
      <alignment horizontal="center" vertical="center"/>
    </xf>
    <xf numFmtId="0" fontId="1" fillId="18" borderId="10" xfId="27" applyBorder="1" applyAlignment="1" applyProtection="1">
      <alignment horizontal="center" vertical="center"/>
      <protection locked="0"/>
    </xf>
    <xf numFmtId="0" fontId="8" fillId="4" borderId="10" xfId="8" applyBorder="1" applyAlignment="1" applyProtection="1">
      <alignment horizontal="center" vertical="center"/>
      <protection locked="0"/>
    </xf>
    <xf numFmtId="0" fontId="1" fillId="10" borderId="10" xfId="19" applyBorder="1" applyAlignment="1" applyProtection="1">
      <alignment horizontal="center" vertical="center"/>
      <protection locked="0"/>
    </xf>
    <xf numFmtId="49" fontId="21" fillId="33" borderId="10" xfId="0" applyNumberFormat="1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2" fillId="0" borderId="0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6" fillId="2" borderId="10" xfId="6" applyBorder="1" applyAlignment="1">
      <alignment horizontal="center" vertical="center"/>
    </xf>
    <xf numFmtId="49" fontId="1" fillId="8" borderId="24" xfId="15" applyNumberFormat="1" applyBorder="1" applyAlignment="1">
      <alignment horizontal="center" vertical="center"/>
    </xf>
    <xf numFmtId="0" fontId="1" fillId="19" borderId="10" xfId="28" applyBorder="1" applyAlignment="1">
      <alignment horizontal="center" vertical="center"/>
    </xf>
    <xf numFmtId="0" fontId="1" fillId="27" borderId="10" xfId="36" applyBorder="1" applyAlignment="1">
      <alignment horizontal="center" vertical="center"/>
    </xf>
    <xf numFmtId="0" fontId="8" fillId="4" borderId="20" xfId="8" applyBorder="1" applyAlignment="1">
      <alignment horizontal="center" vertical="center"/>
    </xf>
    <xf numFmtId="0" fontId="0" fillId="0" borderId="0" xfId="0" applyAlignment="1">
      <alignment horizontal="left" vertical="center"/>
    </xf>
    <xf numFmtId="178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17" fillId="13" borderId="10" xfId="22" applyBorder="1" applyAlignment="1" applyProtection="1">
      <alignment horizontal="center" vertical="center"/>
      <protection locked="0"/>
    </xf>
    <xf numFmtId="0" fontId="7" fillId="3" borderId="10" xfId="7" applyBorder="1" applyAlignment="1">
      <alignment horizontal="center" vertical="center" wrapText="1"/>
    </xf>
    <xf numFmtId="0" fontId="7" fillId="3" borderId="10" xfId="7" applyBorder="1" applyAlignment="1">
      <alignment horizontal="center" vertical="center"/>
    </xf>
    <xf numFmtId="0" fontId="6" fillId="2" borderId="10" xfId="6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 vertical="center" wrapText="1"/>
    </xf>
    <xf numFmtId="0" fontId="25" fillId="0" borderId="18" xfId="0" applyFont="1" applyBorder="1" applyAlignment="1">
      <alignment horizontal="left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9" fillId="2" borderId="10" xfId="6" applyFont="1" applyBorder="1" applyAlignment="1">
      <alignment horizontal="center" vertical="center"/>
    </xf>
    <xf numFmtId="0" fontId="30" fillId="2" borderId="10" xfId="6" applyFont="1" applyBorder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13</xdr:row>
          <xdr:rowOff>9525</xdr:rowOff>
        </xdr:from>
        <xdr:to>
          <xdr:col>5</xdr:col>
          <xdr:colOff>504825</xdr:colOff>
          <xdr:row>14</xdr:row>
          <xdr:rowOff>133350</xdr:rowOff>
        </xdr:to>
        <xdr:sp macro="" textlink="">
          <xdr:nvSpPr>
            <xdr:cNvPr id="108546" name="CommandButton1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95250</xdr:rowOff>
        </xdr:from>
        <xdr:to>
          <xdr:col>5</xdr:col>
          <xdr:colOff>552450</xdr:colOff>
          <xdr:row>3</xdr:row>
          <xdr:rowOff>57150</xdr:rowOff>
        </xdr:to>
        <xdr:sp macro="" textlink="">
          <xdr:nvSpPr>
            <xdr:cNvPr id="108548" name="CommandButton2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95250</xdr:rowOff>
        </xdr:from>
        <xdr:to>
          <xdr:col>5</xdr:col>
          <xdr:colOff>552450</xdr:colOff>
          <xdr:row>5</xdr:row>
          <xdr:rowOff>28575</xdr:rowOff>
        </xdr:to>
        <xdr:sp macro="" textlink="">
          <xdr:nvSpPr>
            <xdr:cNvPr id="108549" name="CommandButton3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28575</xdr:colOff>
      <xdr:row>1</xdr:row>
      <xdr:rowOff>9525</xdr:rowOff>
    </xdr:from>
    <xdr:to>
      <xdr:col>11</xdr:col>
      <xdr:colOff>523875</xdr:colOff>
      <xdr:row>24</xdr:row>
      <xdr:rowOff>28574</xdr:rowOff>
    </xdr:to>
    <xdr:sp macro="" textlink="">
      <xdr:nvSpPr>
        <xdr:cNvPr id="2" name="文字方塊 1"/>
        <xdr:cNvSpPr txBox="1"/>
      </xdr:nvSpPr>
      <xdr:spPr>
        <a:xfrm>
          <a:off x="5753100" y="390525"/>
          <a:ext cx="3924300" cy="4838699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使用步驟</a:t>
          </a:r>
          <a:endParaRPr lang="en-US" altLang="zh-TW" sz="1100"/>
        </a:p>
        <a:p>
          <a:r>
            <a:rPr lang="en-US" altLang="zh-TW" sz="1100"/>
            <a:t>1.</a:t>
          </a:r>
          <a:r>
            <a:rPr lang="en-US" altLang="zh-TW" sz="1100" baseline="0"/>
            <a:t> </a:t>
          </a:r>
          <a:r>
            <a:rPr lang="zh-TW" altLang="en-US" sz="1100" baseline="0"/>
            <a:t>開班：請在左表上輸入任教之：年段、班級</a:t>
          </a:r>
          <a:r>
            <a:rPr lang="en-US" altLang="zh-TW" sz="1100" baseline="0"/>
            <a:t>(</a:t>
          </a:r>
          <a:r>
            <a:rPr lang="zh-TW" altLang="en-US" sz="1100" baseline="0"/>
            <a:t>代號會自產生</a:t>
          </a:r>
          <a:r>
            <a:rPr lang="en-US" altLang="zh-TW" sz="1100" baseline="0"/>
            <a:t>)</a:t>
          </a:r>
        </a:p>
        <a:p>
          <a:r>
            <a:rPr lang="en-US" altLang="zh-TW" sz="1100" baseline="0"/>
            <a:t>2.</a:t>
          </a:r>
          <a:r>
            <a:rPr lang="zh-TW" altLang="en-US" sz="1100" baseline="0"/>
            <a:t>產生總目錄：請按</a:t>
          </a:r>
          <a:r>
            <a:rPr lang="en-US" altLang="zh-TW" sz="1100" baseline="0"/>
            <a:t>"</a:t>
          </a:r>
          <a:r>
            <a:rPr lang="zh-TW" altLang="en-US" sz="1100" baseline="0"/>
            <a:t>產生總目錄</a:t>
          </a:r>
          <a:r>
            <a:rPr lang="en-US" altLang="zh-TW" sz="1100" baseline="0"/>
            <a:t>"</a:t>
          </a:r>
          <a:r>
            <a:rPr lang="zh-TW" altLang="en-US" sz="1100" baseline="0"/>
            <a:t>按鈕，產生管理表格</a:t>
          </a:r>
          <a:endParaRPr lang="en-US" altLang="zh-TW" sz="1100" baseline="0"/>
        </a:p>
        <a:p>
          <a:r>
            <a:rPr lang="en-US" altLang="zh-TW" sz="1100" baseline="0"/>
            <a:t>3.</a:t>
          </a:r>
          <a:r>
            <a:rPr lang="zh-TW" altLang="en-US" sz="1100" baseline="0"/>
            <a:t>產生各班報表：請按</a:t>
          </a:r>
          <a:r>
            <a:rPr lang="en-US" altLang="zh-TW" sz="1100" baseline="0"/>
            <a:t>"</a:t>
          </a:r>
          <a:r>
            <a:rPr lang="zh-TW" altLang="en-US" sz="1100" baseline="0"/>
            <a:t>產生各班報表</a:t>
          </a:r>
          <a:r>
            <a:rPr lang="en-US" altLang="zh-TW" sz="1100" baseline="0"/>
            <a:t>"</a:t>
          </a:r>
          <a:r>
            <a:rPr lang="zh-TW" altLang="en-US" sz="1100" baseline="0"/>
            <a:t>按鈕，每班會產生</a:t>
          </a:r>
          <a:r>
            <a:rPr lang="en-US" altLang="zh-TW" sz="1100" baseline="0"/>
            <a:t>"</a:t>
          </a:r>
          <a:r>
            <a:rPr lang="zh-TW" altLang="en-US" sz="1100" baseline="0"/>
            <a:t>班級</a:t>
          </a:r>
          <a:r>
            <a:rPr lang="en-US" altLang="zh-TW" sz="1100" baseline="0"/>
            <a:t>"</a:t>
          </a:r>
          <a:r>
            <a:rPr lang="zh-TW" altLang="en-US" sz="1100" baseline="0"/>
            <a:t>，</a:t>
          </a:r>
          <a:r>
            <a:rPr lang="en-US" altLang="zh-TW" sz="1100" baseline="0"/>
            <a:t>"</a:t>
          </a:r>
          <a:r>
            <a:rPr lang="zh-TW" altLang="en-US" sz="1100" baseline="0"/>
            <a:t>班級上課表現</a:t>
          </a:r>
          <a:r>
            <a:rPr lang="en-US" altLang="zh-TW" sz="1100" baseline="0"/>
            <a:t>"</a:t>
          </a:r>
          <a:r>
            <a:rPr lang="zh-TW" altLang="en-US" sz="1100" baseline="0"/>
            <a:t>及</a:t>
          </a:r>
          <a:r>
            <a:rPr lang="en-US" altLang="zh-TW" sz="1100" baseline="0"/>
            <a:t>"</a:t>
          </a:r>
          <a:r>
            <a:rPr lang="zh-TW" altLang="en-US" sz="1100" baseline="0"/>
            <a:t>班級座位表</a:t>
          </a:r>
          <a:r>
            <a:rPr lang="en-US" altLang="zh-TW" sz="1100" baseline="0"/>
            <a:t>"</a:t>
          </a:r>
          <a:r>
            <a:rPr lang="zh-TW" altLang="en-US" sz="1100" baseline="0"/>
            <a:t>三個工作表，並在</a:t>
          </a:r>
          <a:r>
            <a:rPr lang="en-US" altLang="zh-TW" sz="1100" baseline="0"/>
            <a:t>"</a:t>
          </a:r>
          <a:r>
            <a:rPr lang="zh-TW" altLang="en-US" sz="1100" baseline="0"/>
            <a:t>總目錄</a:t>
          </a:r>
          <a:r>
            <a:rPr lang="en-US" altLang="zh-TW" sz="1100" baseline="0"/>
            <a:t>"</a:t>
          </a:r>
          <a:r>
            <a:rPr lang="zh-TW" altLang="en-US" sz="1100" baseline="0"/>
            <a:t>產生連結，以便切換</a:t>
          </a:r>
          <a:endParaRPr lang="en-US" altLang="zh-TW" sz="1100" baseline="0"/>
        </a:p>
        <a:p>
          <a:pPr eaLnBrk="1" fontAlgn="auto" latinLnBrk="0" hangingPunct="1"/>
          <a:r>
            <a:rPr lang="en-US" altLang="zh-TW" sz="1100" baseline="0"/>
            <a:t>4.</a:t>
          </a:r>
          <a:r>
            <a:rPr lang="zh-TW" altLang="en-US" sz="1100" baseline="0"/>
            <a:t>建立暫存檔：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請按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建立暫存檔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，電腦會新增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"Excellvba"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資料夾於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C:\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內。遠端遙控學生電腦所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產生的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程式會放在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(C:\Excellvba)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內。</a:t>
          </a:r>
          <a:endParaRPr lang="zh-TW" altLang="zh-TW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100" baseline="0"/>
            <a:t>5.</a:t>
          </a:r>
          <a:r>
            <a:rPr lang="zh-TW" altLang="en-US" sz="1100" baseline="0"/>
            <a:t>複製</a:t>
          </a:r>
          <a:r>
            <a:rPr lang="en-US" altLang="zh-TW" sz="1100" baseline="0"/>
            <a:t>PsExec.exe</a:t>
          </a:r>
          <a:r>
            <a:rPr lang="zh-TW" altLang="en-US" sz="1100" baseline="0"/>
            <a:t>到</a:t>
          </a:r>
          <a:r>
            <a:rPr lang="en-US" altLang="zh-TW" sz="1100" baseline="0"/>
            <a:t>C:\Windows\System32</a:t>
          </a:r>
          <a:r>
            <a:rPr lang="zh-TW" altLang="en-US" sz="1100" baseline="0"/>
            <a:t>內：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先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在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學生電腦設定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工作表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內填入管理者帳號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，若此電腦有加入網域內，請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管理帳號與網域；若此電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沒有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加入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網域者，免填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網域名稱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，但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須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在學生機與老師機上開通管理者帳號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(Administrator)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及密碼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r>
            <a:rPr lang="zh-TW" altLang="en-US" sz="1100" baseline="0"/>
            <a:t>此步驟須輸入管理者密碼</a:t>
          </a:r>
          <a:r>
            <a:rPr lang="en-US" altLang="zh-TW" sz="1100" baseline="0"/>
            <a:t>(</a:t>
          </a:r>
          <a:r>
            <a:rPr lang="zh-TW" altLang="en-US" sz="1100" baseline="0"/>
            <a:t>系統會記住保存密碼</a:t>
          </a:r>
          <a:r>
            <a:rPr lang="en-US" altLang="zh-TW" sz="1100" baseline="0"/>
            <a:t>)</a:t>
          </a:r>
          <a:r>
            <a:rPr lang="zh-TW" altLang="en-US" sz="1100" baseline="0"/>
            <a:t>。</a:t>
          </a:r>
          <a:endParaRPr lang="en-US" altLang="zh-TW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aseline="0"/>
            <a:t> </a:t>
          </a:r>
          <a:r>
            <a:rPr lang="en-US" altLang="zh-TW" sz="1100" baseline="0"/>
            <a:t>6.</a:t>
          </a:r>
          <a:r>
            <a:rPr lang="zh-TW" altLang="en-US" sz="1100" baseline="0"/>
            <a:t>啟用</a:t>
          </a:r>
          <a:r>
            <a:rPr lang="en-US" altLang="zh-TW" sz="1100" baseline="0"/>
            <a:t>PsExec</a:t>
          </a:r>
          <a:r>
            <a:rPr lang="zh-TW" altLang="en-US" sz="1100" baseline="0"/>
            <a:t>：遠端遙控學生電腦須用到</a:t>
          </a:r>
          <a:r>
            <a:rPr lang="en-US" altLang="zh-TW" sz="1100" baseline="0"/>
            <a:t>PsTool</a:t>
          </a:r>
          <a:r>
            <a:rPr lang="zh-TW" altLang="en-US" sz="1100" baseline="0"/>
            <a:t>工具內的</a:t>
          </a:r>
          <a:r>
            <a:rPr lang="en-US" altLang="zh-TW" sz="1100" baseline="0"/>
            <a:t>PsExec.exe</a:t>
          </a:r>
          <a:r>
            <a:rPr lang="zh-TW" altLang="en-US" sz="1100" baseline="0"/>
            <a:t>，第一次使用須同意授權</a:t>
          </a:r>
          <a:r>
            <a:rPr lang="en-US" altLang="zh-TW" sz="1100" baseline="0"/>
            <a:t>! </a:t>
          </a:r>
        </a:p>
        <a:p>
          <a:r>
            <a:rPr lang="en-US" altLang="zh-TW" sz="1100" baseline="0"/>
            <a:t>7.</a:t>
          </a:r>
          <a:r>
            <a:rPr lang="zh-TW" altLang="en-US" sz="1100" baseline="0"/>
            <a:t>輸入各班學生座號及姓名：請將各班學生座號姓名填入</a:t>
          </a:r>
          <a:r>
            <a:rPr lang="en-US" altLang="zh-TW" sz="1100" baseline="0"/>
            <a:t>"</a:t>
          </a:r>
          <a:r>
            <a:rPr lang="zh-TW" altLang="en-US" sz="1100" baseline="0"/>
            <a:t>班級</a:t>
          </a:r>
          <a:r>
            <a:rPr lang="en-US" altLang="zh-TW" sz="1100" baseline="0"/>
            <a:t>"</a:t>
          </a:r>
          <a:r>
            <a:rPr lang="zh-TW" altLang="en-US" sz="1100" baseline="0"/>
            <a:t>工作表內，其餘二個工作表會自動連結</a:t>
          </a:r>
          <a:endParaRPr lang="en-US" altLang="zh-TW" sz="1100" baseline="0"/>
        </a:p>
        <a:p>
          <a:r>
            <a:rPr lang="en-US" altLang="zh-TW" sz="1100" baseline="0"/>
            <a:t>8.</a:t>
          </a:r>
          <a:r>
            <a:rPr lang="zh-TW" altLang="en-US" sz="1100" baseline="0"/>
            <a:t>設定學生使用電腦：請在</a:t>
          </a:r>
          <a:r>
            <a:rPr lang="en-US" altLang="zh-TW" sz="1100" baseline="0"/>
            <a:t>"</a:t>
          </a:r>
          <a:r>
            <a:rPr lang="zh-TW" altLang="en-US" sz="1100" baseline="0"/>
            <a:t>學生電腦設定</a:t>
          </a:r>
          <a:r>
            <a:rPr lang="en-US" altLang="zh-TW" sz="1100" baseline="0"/>
            <a:t>"</a:t>
          </a:r>
          <a:r>
            <a:rPr lang="zh-TW" altLang="en-US" sz="1100" baseline="0"/>
            <a:t>工作表，填妥學生使用電腦各項資料</a:t>
          </a:r>
          <a:endParaRPr lang="en-US" altLang="zh-TW" sz="1100" baseline="0"/>
        </a:p>
        <a:p>
          <a:r>
            <a:rPr lang="en-US" altLang="zh-TW" sz="1100"/>
            <a:t>9.</a:t>
          </a:r>
          <a:r>
            <a:rPr lang="zh-TW" altLang="en-US" sz="1100"/>
            <a:t>學生成績請在</a:t>
          </a:r>
          <a:r>
            <a:rPr lang="en-US" altLang="zh-TW" sz="1100"/>
            <a:t>"</a:t>
          </a:r>
          <a:r>
            <a:rPr lang="zh-TW" altLang="en-US" sz="1100"/>
            <a:t>班級</a:t>
          </a:r>
          <a:r>
            <a:rPr lang="en-US" altLang="zh-TW" sz="1100"/>
            <a:t>"</a:t>
          </a:r>
          <a:r>
            <a:rPr lang="zh-TW" altLang="en-US" sz="1100"/>
            <a:t>工作表上登錄</a:t>
          </a:r>
          <a:endParaRPr lang="en-US" altLang="zh-TW" sz="1100"/>
        </a:p>
        <a:p>
          <a:r>
            <a:rPr lang="en-US" altLang="zh-TW" sz="1100"/>
            <a:t>10.</a:t>
          </a:r>
          <a:r>
            <a:rPr lang="zh-TW" altLang="en-US" sz="1100"/>
            <a:t>有關學生上課各項加扣分及遠端電腦操控，請在</a:t>
          </a:r>
          <a:r>
            <a:rPr lang="en-US" altLang="zh-TW" sz="1100"/>
            <a:t>"</a:t>
          </a:r>
          <a:r>
            <a:rPr lang="zh-TW" altLang="en-US" sz="1100"/>
            <a:t>上課表現</a:t>
          </a:r>
          <a:r>
            <a:rPr lang="en-US" altLang="zh-TW" sz="1100"/>
            <a:t>"</a:t>
          </a:r>
          <a:r>
            <a:rPr lang="zh-TW" altLang="en-US" sz="1100"/>
            <a:t>工作表內操作</a:t>
          </a:r>
          <a:endParaRPr lang="en-US" altLang="zh-TW" sz="1100"/>
        </a:p>
        <a:p>
          <a:r>
            <a:rPr lang="en-US" altLang="zh-TW" sz="1100"/>
            <a:t>11.</a:t>
          </a:r>
          <a:r>
            <a:rPr lang="zh-TW" altLang="en-US" sz="1100"/>
            <a:t>回總目錄，開始使用！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76200</xdr:rowOff>
        </xdr:from>
        <xdr:to>
          <xdr:col>5</xdr:col>
          <xdr:colOff>533400</xdr:colOff>
          <xdr:row>7</xdr:row>
          <xdr:rowOff>133350</xdr:rowOff>
        </xdr:to>
        <xdr:sp macro="" textlink="">
          <xdr:nvSpPr>
            <xdr:cNvPr id="108550" name="CommandButton4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523875</xdr:colOff>
          <xdr:row>12</xdr:row>
          <xdr:rowOff>133350</xdr:rowOff>
        </xdr:to>
        <xdr:sp macro="" textlink="">
          <xdr:nvSpPr>
            <xdr:cNvPr id="108551" name="CommandButton5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5</xdr:col>
          <xdr:colOff>533400</xdr:colOff>
          <xdr:row>10</xdr:row>
          <xdr:rowOff>47625</xdr:rowOff>
        </xdr:to>
        <xdr:sp macro="" textlink="">
          <xdr:nvSpPr>
            <xdr:cNvPr id="108552" name="CommandButton6" hidden="1">
              <a:extLst>
                <a:ext uri="{63B3BB69-23CF-44E3-9099-C40C66FF867C}">
                  <a14:compatExt spid="_x0000_s108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0</xdr:rowOff>
        </xdr:from>
        <xdr:to>
          <xdr:col>6</xdr:col>
          <xdr:colOff>1238250</xdr:colOff>
          <xdr:row>1</xdr:row>
          <xdr:rowOff>9525</xdr:rowOff>
        </xdr:to>
        <xdr:sp macro="" textlink="">
          <xdr:nvSpPr>
            <xdr:cNvPr id="106497" name="CommandButton1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123825</xdr:colOff>
      <xdr:row>1</xdr:row>
      <xdr:rowOff>47625</xdr:rowOff>
    </xdr:from>
    <xdr:to>
      <xdr:col>11</xdr:col>
      <xdr:colOff>257175</xdr:colOff>
      <xdr:row>5</xdr:row>
      <xdr:rowOff>38100</xdr:rowOff>
    </xdr:to>
    <xdr:sp macro="" textlink="">
      <xdr:nvSpPr>
        <xdr:cNvPr id="2" name="文字方塊 1"/>
        <xdr:cNvSpPr txBox="1"/>
      </xdr:nvSpPr>
      <xdr:spPr>
        <a:xfrm>
          <a:off x="8334375" y="371475"/>
          <a:ext cx="3248025" cy="1181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※</a:t>
          </a:r>
          <a:r>
            <a:rPr lang="zh-TW" altLang="en-US" sz="1100"/>
            <a:t>本管理系統遠端操控部分須使用</a:t>
          </a:r>
          <a:r>
            <a:rPr lang="en-US" altLang="zh-TW" sz="1100"/>
            <a:t>pstools</a:t>
          </a:r>
          <a:r>
            <a:rPr lang="zh-TW" altLang="en-US" sz="1100"/>
            <a:t>的</a:t>
          </a:r>
          <a:r>
            <a:rPr lang="en-US" altLang="zh-TW" sz="1100"/>
            <a:t>psexec.exe</a:t>
          </a:r>
        </a:p>
        <a:p>
          <a:r>
            <a:rPr lang="en-US" altLang="zh-TW" sz="1100"/>
            <a:t>※</a:t>
          </a:r>
          <a:r>
            <a:rPr lang="zh-TW" altLang="en-US" sz="1100"/>
            <a:t>若學生有變換位置，請直接把</a:t>
          </a:r>
          <a:r>
            <a:rPr lang="en-US" altLang="zh-TW" sz="1100"/>
            <a:t>"</a:t>
          </a:r>
          <a:r>
            <a:rPr lang="zh-TW" altLang="en-US" sz="1100"/>
            <a:t>使用電腦</a:t>
          </a:r>
          <a:r>
            <a:rPr lang="en-US" altLang="zh-TW" sz="1100"/>
            <a:t>IP"</a:t>
          </a:r>
          <a:r>
            <a:rPr lang="zh-TW" altLang="en-US" sz="1100"/>
            <a:t>更換即可</a:t>
          </a:r>
        </a:p>
        <a:p>
          <a:r>
            <a:rPr lang="en-US" altLang="zh-TW" sz="1100"/>
            <a:t>※</a:t>
          </a:r>
          <a:r>
            <a:rPr lang="zh-TW" altLang="en-US" sz="1100"/>
            <a:t>第一次使用自動登出時會詢問密碼並保存之</a:t>
          </a:r>
          <a:endParaRPr lang="en-US" altLang="zh-TW" sz="1100"/>
        </a:p>
        <a:p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zh-TW" altLang="en-US" sz="1100"/>
            <a:t>工作表鎖定及</a:t>
          </a:r>
          <a:r>
            <a:rPr lang="en-US" altLang="zh-TW" sz="1100"/>
            <a:t>vba</a:t>
          </a:r>
          <a:r>
            <a:rPr lang="zh-TW" altLang="en-US" sz="1100"/>
            <a:t>密碼：</a:t>
          </a:r>
          <a:r>
            <a:rPr lang="en-US" altLang="zh-TW" sz="1100"/>
            <a:t>excellvba</a:t>
          </a:r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0</xdr:row>
          <xdr:rowOff>0</xdr:rowOff>
        </xdr:from>
        <xdr:to>
          <xdr:col>23</xdr:col>
          <xdr:colOff>352425</xdr:colOff>
          <xdr:row>0</xdr:row>
          <xdr:rowOff>333375</xdr:rowOff>
        </xdr:to>
        <xdr:sp macro="" textlink="">
          <xdr:nvSpPr>
            <xdr:cNvPr id="113665" name="CommandButton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533400</xdr:colOff>
          <xdr:row>0</xdr:row>
          <xdr:rowOff>9525</xdr:rowOff>
        </xdr:from>
        <xdr:to>
          <xdr:col>28</xdr:col>
          <xdr:colOff>647700</xdr:colOff>
          <xdr:row>1</xdr:row>
          <xdr:rowOff>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0</xdr:row>
          <xdr:rowOff>0</xdr:rowOff>
        </xdr:from>
        <xdr:to>
          <xdr:col>27</xdr:col>
          <xdr:colOff>533400</xdr:colOff>
          <xdr:row>1</xdr:row>
          <xdr:rowOff>9525</xdr:rowOff>
        </xdr:to>
        <xdr:sp macro="" textlink="">
          <xdr:nvSpPr>
            <xdr:cNvPr id="114690" name="CommandButton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0</xdr:row>
          <xdr:rowOff>9525</xdr:rowOff>
        </xdr:from>
        <xdr:to>
          <xdr:col>3</xdr:col>
          <xdr:colOff>1628775</xdr:colOff>
          <xdr:row>1</xdr:row>
          <xdr:rowOff>28575</xdr:rowOff>
        </xdr:to>
        <xdr:sp macro="" textlink="">
          <xdr:nvSpPr>
            <xdr:cNvPr id="115713" name="CommandButton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9525</xdr:rowOff>
        </xdr:from>
        <xdr:to>
          <xdr:col>7</xdr:col>
          <xdr:colOff>142875</xdr:colOff>
          <xdr:row>0</xdr:row>
          <xdr:rowOff>342900</xdr:rowOff>
        </xdr:to>
        <xdr:sp macro="" textlink="">
          <xdr:nvSpPr>
            <xdr:cNvPr id="116737" name="CommandButton1" hidden="1">
              <a:extLst>
                <a:ext uri="{63B3BB69-23CF-44E3-9099-C40C66FF867C}">
                  <a14:compatExt spid="_x0000_s116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chnet.microsoft.com/en-us/sysinternals/pstools.aspx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22"/>
  <sheetViews>
    <sheetView workbookViewId="0">
      <selection sqref="A1:D1"/>
    </sheetView>
  </sheetViews>
  <sheetFormatPr defaultRowHeight="16.5" x14ac:dyDescent="0.25"/>
  <cols>
    <col min="1" max="2" width="9" style="12"/>
    <col min="3" max="3" width="16.25" style="12" customWidth="1"/>
    <col min="4" max="4" width="22.875" style="12" customWidth="1"/>
    <col min="5" max="16384" width="9" style="12"/>
  </cols>
  <sheetData>
    <row r="1" spans="1:4" ht="30" customHeight="1" x14ac:dyDescent="0.25">
      <c r="A1" s="46" t="s">
        <v>204</v>
      </c>
      <c r="B1" s="46"/>
      <c r="C1" s="46"/>
      <c r="D1" s="46"/>
    </row>
    <row r="2" spans="1:4" x14ac:dyDescent="0.25">
      <c r="A2" s="30" t="s">
        <v>70</v>
      </c>
      <c r="B2" s="30" t="s">
        <v>67</v>
      </c>
      <c r="C2" s="30" t="s">
        <v>68</v>
      </c>
      <c r="D2" s="30" t="s">
        <v>69</v>
      </c>
    </row>
    <row r="3" spans="1:4" x14ac:dyDescent="0.25">
      <c r="A3" s="31" t="s">
        <v>173</v>
      </c>
      <c r="B3" s="32">
        <v>4</v>
      </c>
      <c r="C3" s="29" t="str">
        <f>IF(A3="","",IF(B3="","",CONCATENATE(MATCH(A3,{"一","二","三","四","五","六","七","八","九","十"},0),IF(B3&lt;10,0&amp;B3,B3))))</f>
        <v>204</v>
      </c>
      <c r="D3" s="28"/>
    </row>
    <row r="4" spans="1:4" x14ac:dyDescent="0.25">
      <c r="A4" s="31" t="s">
        <v>203</v>
      </c>
      <c r="B4" s="32">
        <v>4</v>
      </c>
      <c r="C4" s="29" t="str">
        <f>IF(A4="","",IF(B4="","",CONCATENATE(MATCH(A4,{"一","二","三","四","五","六","七","八","九","十"},0),IF(B4&lt;10,0&amp;B4,B4))))</f>
        <v>304</v>
      </c>
      <c r="D4" s="28"/>
    </row>
    <row r="5" spans="1:4" x14ac:dyDescent="0.25">
      <c r="A5" s="31"/>
      <c r="B5" s="32"/>
      <c r="C5" s="29" t="str">
        <f>IF(A5="","",IF(B5="","",CONCATENATE(MATCH(A5,{"一","二","三","四","五","六","七","八","九","十"},0),IF(B5&lt;10,0&amp;B5,B5))))</f>
        <v/>
      </c>
      <c r="D5" s="28"/>
    </row>
    <row r="6" spans="1:4" x14ac:dyDescent="0.25">
      <c r="A6" s="31"/>
      <c r="B6" s="32"/>
      <c r="C6" s="29" t="str">
        <f>IF(A6="","",IF(B6="","",CONCATENATE(MATCH(A6,{"一","二","三","四","五","六","七","八","九","十"},0),IF(B6&lt;10,0&amp;B6,B6))))</f>
        <v/>
      </c>
      <c r="D6" s="28"/>
    </row>
    <row r="7" spans="1:4" x14ac:dyDescent="0.25">
      <c r="A7" s="31"/>
      <c r="B7" s="32"/>
      <c r="C7" s="29" t="str">
        <f>IF(A7="","",IF(B7="","",CONCATENATE(MATCH(A7,{"一","二","三","四","五","六","七","八","九","十"},0),IF(B7&lt;10,0&amp;B7,B7))))</f>
        <v/>
      </c>
      <c r="D7" s="28"/>
    </row>
    <row r="8" spans="1:4" x14ac:dyDescent="0.25">
      <c r="A8" s="31"/>
      <c r="B8" s="32"/>
      <c r="C8" s="29" t="str">
        <f>IF(A8="","",IF(B8="","",CONCATENATE(MATCH(A8,{"一","二","三","四","五","六","七","八","九","十"},0),IF(B8&lt;10,0&amp;B8,B8))))</f>
        <v/>
      </c>
      <c r="D8" s="28"/>
    </row>
    <row r="9" spans="1:4" x14ac:dyDescent="0.25">
      <c r="A9" s="31"/>
      <c r="B9" s="32"/>
      <c r="C9" s="29" t="str">
        <f>IF(A9="","",IF(B9="","",CONCATENATE(MATCH(A9,{"一","二","三","四","五","六","七","八","九","十"},0),IF(B9&lt;10,0&amp;B9,B9))))</f>
        <v/>
      </c>
      <c r="D9" s="28"/>
    </row>
    <row r="10" spans="1:4" x14ac:dyDescent="0.25">
      <c r="A10" s="31"/>
      <c r="B10" s="32"/>
      <c r="C10" s="29" t="str">
        <f>IF(A10="","",IF(B10="","",CONCATENATE(MATCH(A10,{"一","二","三","四","五","六","七","八","九","十"},0),IF(B10&lt;10,0&amp;B10,B10))))</f>
        <v/>
      </c>
      <c r="D10" s="28"/>
    </row>
    <row r="11" spans="1:4" x14ac:dyDescent="0.25">
      <c r="A11" s="31"/>
      <c r="B11" s="32"/>
      <c r="C11" s="29" t="str">
        <f>IF(A11="","",IF(B11="","",CONCATENATE(MATCH(A11,{"一","二","三","四","五","六","七","八","九","十"},0),IF(B11&lt;10,0&amp;B11,B11))))</f>
        <v/>
      </c>
      <c r="D11" s="28"/>
    </row>
    <row r="12" spans="1:4" x14ac:dyDescent="0.25">
      <c r="A12" s="31"/>
      <c r="B12" s="32"/>
      <c r="C12" s="29" t="str">
        <f>IF(A12="","",IF(B12="","",CONCATENATE(MATCH(A12,{"一","二","三","四","五","六","七","八","九","十"},0),IF(B12&lt;10,0&amp;B12,B12))))</f>
        <v/>
      </c>
      <c r="D12" s="28"/>
    </row>
    <row r="13" spans="1:4" x14ac:dyDescent="0.25">
      <c r="A13" s="31"/>
      <c r="B13" s="32"/>
      <c r="C13" s="29" t="str">
        <f>IF(A13="","",IF(B13="","",CONCATENATE(MATCH(A13,{"一","二","三","四","五","六","七","八","九","十"},0),IF(B13&lt;10,0&amp;B13,B13))))</f>
        <v/>
      </c>
      <c r="D13" s="28"/>
    </row>
    <row r="14" spans="1:4" x14ac:dyDescent="0.25">
      <c r="A14" s="31"/>
      <c r="B14" s="32"/>
      <c r="C14" s="29" t="str">
        <f>IF(A14="","",IF(B14="","",CONCATENATE(MATCH(A14,{"一","二","三","四","五","六","七","八","九","十"},0),IF(B14&lt;10,0&amp;B14,B14))))</f>
        <v/>
      </c>
      <c r="D14" s="28"/>
    </row>
    <row r="15" spans="1:4" x14ac:dyDescent="0.25">
      <c r="A15" s="31"/>
      <c r="B15" s="32"/>
      <c r="C15" s="29" t="str">
        <f>IF(A15="","",IF(B15="","",CONCATENATE(MATCH(A15,{"一","二","三","四","五","六","七","八","九","十"},0),IF(B15&lt;10,0&amp;B15,B15))))</f>
        <v/>
      </c>
      <c r="D15" s="28"/>
    </row>
    <row r="16" spans="1:4" x14ac:dyDescent="0.25">
      <c r="A16" s="31"/>
      <c r="B16" s="32"/>
      <c r="C16" s="29" t="str">
        <f>IF(A16="","",IF(B16="","",CONCATENATE(MATCH(A16,{"一","二","三","四","五","六","七","八","九","十"},0),IF(B16&lt;10,0&amp;B16,B16))))</f>
        <v/>
      </c>
      <c r="D16" s="28"/>
    </row>
    <row r="17" spans="1:4" x14ac:dyDescent="0.25">
      <c r="A17" s="31"/>
      <c r="B17" s="32"/>
      <c r="C17" s="29" t="str">
        <f>IF(A17="","",IF(B17="","",CONCATENATE(MATCH(A17,{"一","二","三","四","五","六","七","八","九","十"},0),IF(B17&lt;10,0&amp;B17,B17))))</f>
        <v/>
      </c>
      <c r="D17" s="28"/>
    </row>
    <row r="18" spans="1:4" x14ac:dyDescent="0.25">
      <c r="A18" s="31"/>
      <c r="B18" s="32"/>
      <c r="C18" s="29" t="str">
        <f>IF(A18="","",IF(B18="","",CONCATENATE(MATCH(A18,{"一","二","三","四","五","六","七","八","九","十"},0),IF(B18&lt;10,0&amp;B18,B18))))</f>
        <v/>
      </c>
      <c r="D18" s="28"/>
    </row>
    <row r="19" spans="1:4" x14ac:dyDescent="0.25">
      <c r="A19" s="31"/>
      <c r="B19" s="32"/>
      <c r="C19" s="29" t="str">
        <f>IF(A19="","",IF(B19="","",CONCATENATE(MATCH(A19,{"一","二","三","四","五","六","七","八","九","十"},0),IF(B19&lt;10,0&amp;B19,B19))))</f>
        <v/>
      </c>
      <c r="D19" s="28"/>
    </row>
    <row r="20" spans="1:4" x14ac:dyDescent="0.25">
      <c r="A20" s="31"/>
      <c r="B20" s="32"/>
      <c r="C20" s="29" t="str">
        <f>IF(A20="","",IF(B20="","",CONCATENATE(MATCH(A20,{"一","二","三","四","五","六","七","八","九","十"},0),IF(B20&lt;10,0&amp;B20,B20))))</f>
        <v/>
      </c>
      <c r="D20" s="28"/>
    </row>
    <row r="21" spans="1:4" x14ac:dyDescent="0.25">
      <c r="A21" s="31"/>
      <c r="B21" s="32"/>
      <c r="C21" s="29" t="str">
        <f>IF(A21="","",IF(B21="","",CONCATENATE(MATCH(A21,{"一","二","三","四","五","六","七","八","九","十"},0),IF(B21&lt;10,0&amp;B21,B21))))</f>
        <v/>
      </c>
      <c r="D21" s="28"/>
    </row>
    <row r="22" spans="1:4" x14ac:dyDescent="0.25">
      <c r="A22" s="31"/>
      <c r="B22" s="32"/>
      <c r="C22" s="29" t="str">
        <f>IF(A22="","",IF(B22="","",CONCATENATE(MATCH(A22,{"一","二","三","四","五","六","七","八","九","十"},0),IF(B22&lt;10,0&amp;B22,B22))))</f>
        <v/>
      </c>
      <c r="D22" s="28"/>
    </row>
  </sheetData>
  <sheetProtection insertRows="0" deleteColumns="0" deleteRows="0" selectLockedCells="1"/>
  <sortState ref="A3:D14">
    <sortCondition ref="C3:C14"/>
  </sortState>
  <mergeCells count="1">
    <mergeCell ref="A1:D1"/>
  </mergeCells>
  <phoneticPr fontId="18" type="noConversion"/>
  <dataValidations count="2">
    <dataValidation allowBlank="1" showInputMessage="1" showErrorMessage="1" prompt="請勿空白，輸入國字，例：一，二，三.........." sqref="A3:A22"/>
    <dataValidation allowBlank="1" showInputMessage="1" showErrorMessage="1" prompt="請勿空白，輸入阿拉伯數字：1，2，3，........" sqref="B3:B22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2" r:id="rId3" name="CommandButton6">
          <controlPr defaultSize="0" autoLine="0" r:id="rId4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5</xdr:col>
                <xdr:colOff>533400</xdr:colOff>
                <xdr:row>10</xdr:row>
                <xdr:rowOff>47625</xdr:rowOff>
              </to>
            </anchor>
          </controlPr>
        </control>
      </mc:Choice>
      <mc:Fallback>
        <control shapeId="108552" r:id="rId3" name="CommandButton6"/>
      </mc:Fallback>
    </mc:AlternateContent>
    <mc:AlternateContent xmlns:mc="http://schemas.openxmlformats.org/markup-compatibility/2006">
      <mc:Choice Requires="x14">
        <control shapeId="108551" r:id="rId5" name="CommandButton5">
          <controlPr defaultSize="0" autoLine="0" r:id="rId6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523875</xdr:colOff>
                <xdr:row>12</xdr:row>
                <xdr:rowOff>133350</xdr:rowOff>
              </to>
            </anchor>
          </controlPr>
        </control>
      </mc:Choice>
      <mc:Fallback>
        <control shapeId="108551" r:id="rId5" name="CommandButton5"/>
      </mc:Fallback>
    </mc:AlternateContent>
    <mc:AlternateContent xmlns:mc="http://schemas.openxmlformats.org/markup-compatibility/2006">
      <mc:Choice Requires="x14">
        <control shapeId="108546" r:id="rId7" name="CommandButton1">
          <controlPr defaultSize="0" autoLine="0" autoPict="0" r:id="rId8">
            <anchor moveWithCells="1">
              <from>
                <xdr:col>4</xdr:col>
                <xdr:colOff>76200</xdr:colOff>
                <xdr:row>13</xdr:row>
                <xdr:rowOff>9525</xdr:rowOff>
              </from>
              <to>
                <xdr:col>5</xdr:col>
                <xdr:colOff>504825</xdr:colOff>
                <xdr:row>14</xdr:row>
                <xdr:rowOff>133350</xdr:rowOff>
              </to>
            </anchor>
          </controlPr>
        </control>
      </mc:Choice>
      <mc:Fallback>
        <control shapeId="108546" r:id="rId7" name="CommandButton1"/>
      </mc:Fallback>
    </mc:AlternateContent>
    <mc:AlternateContent xmlns:mc="http://schemas.openxmlformats.org/markup-compatibility/2006">
      <mc:Choice Requires="x14">
        <control shapeId="108548" r:id="rId9" name="CommandButton2">
          <controlPr defaultSize="0" autoLine="0" r:id="rId10">
            <anchor moveWithCells="1">
              <from>
                <xdr:col>4</xdr:col>
                <xdr:colOff>38100</xdr:colOff>
                <xdr:row>1</xdr:row>
                <xdr:rowOff>95250</xdr:rowOff>
              </from>
              <to>
                <xdr:col>5</xdr:col>
                <xdr:colOff>552450</xdr:colOff>
                <xdr:row>3</xdr:row>
                <xdr:rowOff>57150</xdr:rowOff>
              </to>
            </anchor>
          </controlPr>
        </control>
      </mc:Choice>
      <mc:Fallback>
        <control shapeId="108548" r:id="rId9" name="CommandButton2"/>
      </mc:Fallback>
    </mc:AlternateContent>
    <mc:AlternateContent xmlns:mc="http://schemas.openxmlformats.org/markup-compatibility/2006">
      <mc:Choice Requires="x14">
        <control shapeId="108549" r:id="rId11" name="CommandButton3">
          <controlPr defaultSize="0" autoLine="0" r:id="rId12">
            <anchor moveWithCells="1">
              <from>
                <xdr:col>4</xdr:col>
                <xdr:colOff>47625</xdr:colOff>
                <xdr:row>3</xdr:row>
                <xdr:rowOff>95250</xdr:rowOff>
              </from>
              <to>
                <xdr:col>5</xdr:col>
                <xdr:colOff>552450</xdr:colOff>
                <xdr:row>5</xdr:row>
                <xdr:rowOff>28575</xdr:rowOff>
              </to>
            </anchor>
          </controlPr>
        </control>
      </mc:Choice>
      <mc:Fallback>
        <control shapeId="108549" r:id="rId11" name="CommandButton3"/>
      </mc:Fallback>
    </mc:AlternateContent>
    <mc:AlternateContent xmlns:mc="http://schemas.openxmlformats.org/markup-compatibility/2006">
      <mc:Choice Requires="x14">
        <control shapeId="108550" r:id="rId13" name="CommandButton4">
          <controlPr defaultSize="0" autoLine="0" autoPict="0" r:id="rId14">
            <anchor moveWithCells="1">
              <from>
                <xdr:col>4</xdr:col>
                <xdr:colOff>47625</xdr:colOff>
                <xdr:row>5</xdr:row>
                <xdr:rowOff>76200</xdr:rowOff>
              </from>
              <to>
                <xdr:col>5</xdr:col>
                <xdr:colOff>533400</xdr:colOff>
                <xdr:row>7</xdr:row>
                <xdr:rowOff>133350</xdr:rowOff>
              </to>
            </anchor>
          </controlPr>
        </control>
      </mc:Choice>
      <mc:Fallback>
        <control shapeId="108550" r:id="rId13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1"/>
  <dimension ref="A1:AB40"/>
  <sheetViews>
    <sheetView zoomScaleNormal="100" workbookViewId="0">
      <pane ySplit="1" topLeftCell="A2" activePane="bottomLeft" state="frozen"/>
      <selection pane="bottomLeft" sqref="A1:G1"/>
    </sheetView>
  </sheetViews>
  <sheetFormatPr defaultRowHeight="16.5" x14ac:dyDescent="0.25"/>
  <cols>
    <col min="1" max="1" width="10.75" style="5" customWidth="1"/>
    <col min="2" max="2" width="16.25" style="5" customWidth="1"/>
    <col min="3" max="3" width="16.875" style="5" customWidth="1"/>
    <col min="4" max="4" width="15.75" style="5" customWidth="1"/>
    <col min="5" max="5" width="13.875" style="5" customWidth="1"/>
    <col min="6" max="6" width="17.75" style="5" customWidth="1"/>
    <col min="7" max="7" width="16.5" style="5" customWidth="1"/>
    <col min="8" max="8" width="13.875" style="5" customWidth="1"/>
    <col min="9" max="16384" width="9" style="5"/>
  </cols>
  <sheetData>
    <row r="1" spans="1:28" ht="25.5" customHeight="1" x14ac:dyDescent="0.25">
      <c r="A1" s="49" t="s">
        <v>56</v>
      </c>
      <c r="B1" s="49"/>
      <c r="C1" s="49"/>
      <c r="D1" s="49"/>
      <c r="E1" s="49"/>
      <c r="F1" s="49"/>
      <c r="G1" s="49"/>
      <c r="H1" s="20" t="s">
        <v>64</v>
      </c>
    </row>
    <row r="2" spans="1:28" ht="23.25" customHeight="1" x14ac:dyDescent="0.25">
      <c r="A2" s="21" t="s">
        <v>11</v>
      </c>
      <c r="B2" s="19" t="s">
        <v>174</v>
      </c>
      <c r="C2" s="21" t="s">
        <v>12</v>
      </c>
      <c r="D2" s="19" t="s">
        <v>175</v>
      </c>
      <c r="E2" s="47"/>
      <c r="F2" s="48"/>
      <c r="G2" s="48"/>
      <c r="H2" s="14"/>
      <c r="I2" s="13"/>
      <c r="AB2" s="37">
        <v>42489</v>
      </c>
    </row>
    <row r="3" spans="1:28" ht="37.5" customHeight="1" x14ac:dyDescent="0.25">
      <c r="A3" s="23" t="s">
        <v>105</v>
      </c>
      <c r="B3" s="16" t="s">
        <v>13</v>
      </c>
      <c r="C3" s="16" t="s">
        <v>14</v>
      </c>
      <c r="D3" s="16" t="s">
        <v>15</v>
      </c>
      <c r="E3" s="16" t="s">
        <v>63</v>
      </c>
      <c r="F3" s="16" t="s">
        <v>16</v>
      </c>
      <c r="G3" s="16" t="s">
        <v>62</v>
      </c>
    </row>
    <row r="4" spans="1:28" x14ac:dyDescent="0.25">
      <c r="A4" s="22" t="s">
        <v>77</v>
      </c>
      <c r="B4" s="19" t="s">
        <v>17</v>
      </c>
      <c r="C4" s="19" t="s">
        <v>18</v>
      </c>
      <c r="D4" s="19" t="s">
        <v>176</v>
      </c>
      <c r="E4" s="19">
        <v>1</v>
      </c>
      <c r="F4" s="19" t="s">
        <v>55</v>
      </c>
      <c r="G4" s="19"/>
    </row>
    <row r="5" spans="1:28" x14ac:dyDescent="0.25">
      <c r="A5" s="22" t="s">
        <v>78</v>
      </c>
      <c r="B5" s="19" t="s">
        <v>20</v>
      </c>
      <c r="C5" s="19" t="s">
        <v>18</v>
      </c>
      <c r="D5" s="19" t="s">
        <v>177</v>
      </c>
      <c r="E5" s="19">
        <v>1</v>
      </c>
      <c r="F5" s="19" t="s">
        <v>19</v>
      </c>
      <c r="G5" s="19"/>
    </row>
    <row r="6" spans="1:28" x14ac:dyDescent="0.25">
      <c r="A6" s="22" t="s">
        <v>79</v>
      </c>
      <c r="B6" s="19" t="s">
        <v>21</v>
      </c>
      <c r="C6" s="19" t="s">
        <v>18</v>
      </c>
      <c r="D6" s="19" t="s">
        <v>177</v>
      </c>
      <c r="E6" s="19">
        <v>1</v>
      </c>
      <c r="F6" s="19" t="s">
        <v>19</v>
      </c>
      <c r="G6" s="19"/>
    </row>
    <row r="7" spans="1:28" x14ac:dyDescent="0.25">
      <c r="A7" s="22" t="s">
        <v>80</v>
      </c>
      <c r="B7" s="19" t="s">
        <v>22</v>
      </c>
      <c r="C7" s="19" t="s">
        <v>18</v>
      </c>
      <c r="D7" s="19" t="s">
        <v>177</v>
      </c>
      <c r="E7" s="19">
        <v>1</v>
      </c>
      <c r="F7" s="19" t="s">
        <v>19</v>
      </c>
      <c r="G7" s="19"/>
    </row>
    <row r="8" spans="1:28" x14ac:dyDescent="0.25">
      <c r="A8" s="22" t="s">
        <v>81</v>
      </c>
      <c r="B8" s="19" t="s">
        <v>23</v>
      </c>
      <c r="C8" s="19" t="s">
        <v>18</v>
      </c>
      <c r="D8" s="19" t="s">
        <v>177</v>
      </c>
      <c r="E8" s="19">
        <v>1</v>
      </c>
      <c r="F8" s="19" t="s">
        <v>19</v>
      </c>
      <c r="G8" s="19"/>
    </row>
    <row r="9" spans="1:28" x14ac:dyDescent="0.25">
      <c r="A9" s="22" t="s">
        <v>82</v>
      </c>
      <c r="B9" s="19" t="s">
        <v>24</v>
      </c>
      <c r="C9" s="19" t="s">
        <v>18</v>
      </c>
      <c r="D9" s="19" t="s">
        <v>177</v>
      </c>
      <c r="E9" s="19">
        <v>1</v>
      </c>
      <c r="F9" s="19" t="s">
        <v>19</v>
      </c>
      <c r="G9" s="19"/>
    </row>
    <row r="10" spans="1:28" x14ac:dyDescent="0.25">
      <c r="A10" s="22" t="s">
        <v>83</v>
      </c>
      <c r="B10" s="19" t="s">
        <v>25</v>
      </c>
      <c r="C10" s="19" t="s">
        <v>18</v>
      </c>
      <c r="D10" s="19" t="s">
        <v>177</v>
      </c>
      <c r="E10" s="19">
        <v>1</v>
      </c>
      <c r="F10" s="19" t="s">
        <v>19</v>
      </c>
      <c r="G10" s="19"/>
    </row>
    <row r="11" spans="1:28" x14ac:dyDescent="0.25">
      <c r="A11" s="22" t="s">
        <v>84</v>
      </c>
      <c r="B11" s="19" t="s">
        <v>26</v>
      </c>
      <c r="C11" s="19" t="s">
        <v>18</v>
      </c>
      <c r="D11" s="19" t="s">
        <v>177</v>
      </c>
      <c r="E11" s="19">
        <v>1</v>
      </c>
      <c r="F11" s="19" t="s">
        <v>19</v>
      </c>
      <c r="G11" s="19"/>
    </row>
    <row r="12" spans="1:28" x14ac:dyDescent="0.25">
      <c r="A12" s="22" t="s">
        <v>85</v>
      </c>
      <c r="B12" s="19" t="s">
        <v>27</v>
      </c>
      <c r="C12" s="19" t="s">
        <v>18</v>
      </c>
      <c r="D12" s="19" t="s">
        <v>177</v>
      </c>
      <c r="E12" s="19">
        <v>1</v>
      </c>
      <c r="F12" s="19" t="s">
        <v>19</v>
      </c>
      <c r="G12" s="19"/>
    </row>
    <row r="13" spans="1:28" x14ac:dyDescent="0.25">
      <c r="A13" s="22" t="s">
        <v>74</v>
      </c>
      <c r="B13" s="19" t="s">
        <v>28</v>
      </c>
      <c r="C13" s="19" t="s">
        <v>18</v>
      </c>
      <c r="D13" s="19" t="s">
        <v>177</v>
      </c>
      <c r="E13" s="19">
        <v>1</v>
      </c>
      <c r="F13" s="19" t="s">
        <v>19</v>
      </c>
      <c r="G13" s="19"/>
    </row>
    <row r="14" spans="1:28" x14ac:dyDescent="0.25">
      <c r="A14" s="22" t="s">
        <v>86</v>
      </c>
      <c r="B14" s="19" t="s">
        <v>29</v>
      </c>
      <c r="C14" s="19" t="s">
        <v>18</v>
      </c>
      <c r="D14" s="19" t="s">
        <v>177</v>
      </c>
      <c r="E14" s="19">
        <v>1</v>
      </c>
      <c r="F14" s="19" t="s">
        <v>19</v>
      </c>
      <c r="G14" s="19"/>
    </row>
    <row r="15" spans="1:28" x14ac:dyDescent="0.25">
      <c r="A15" s="22" t="s">
        <v>87</v>
      </c>
      <c r="B15" s="19" t="s">
        <v>30</v>
      </c>
      <c r="C15" s="19" t="s">
        <v>18</v>
      </c>
      <c r="D15" s="19" t="s">
        <v>178</v>
      </c>
      <c r="E15" s="19">
        <v>1</v>
      </c>
      <c r="F15" s="19" t="s">
        <v>19</v>
      </c>
      <c r="G15" s="19"/>
      <c r="H15" s="36"/>
    </row>
    <row r="16" spans="1:28" x14ac:dyDescent="0.25">
      <c r="A16" s="22" t="s">
        <v>88</v>
      </c>
      <c r="B16" s="19" t="s">
        <v>31</v>
      </c>
      <c r="C16" s="19" t="s">
        <v>18</v>
      </c>
      <c r="D16" s="19" t="s">
        <v>177</v>
      </c>
      <c r="E16" s="19">
        <v>1</v>
      </c>
      <c r="F16" s="19" t="s">
        <v>19</v>
      </c>
      <c r="G16" s="19"/>
    </row>
    <row r="17" spans="1:7" x14ac:dyDescent="0.25">
      <c r="A17" s="22" t="s">
        <v>89</v>
      </c>
      <c r="B17" s="19" t="s">
        <v>32</v>
      </c>
      <c r="C17" s="19" t="s">
        <v>18</v>
      </c>
      <c r="D17" s="19" t="s">
        <v>177</v>
      </c>
      <c r="E17" s="19">
        <v>1</v>
      </c>
      <c r="F17" s="19" t="s">
        <v>19</v>
      </c>
      <c r="G17" s="19"/>
    </row>
    <row r="18" spans="1:7" x14ac:dyDescent="0.25">
      <c r="A18" s="22" t="s">
        <v>90</v>
      </c>
      <c r="B18" s="19" t="s">
        <v>33</v>
      </c>
      <c r="C18" s="19" t="s">
        <v>18</v>
      </c>
      <c r="D18" s="19" t="s">
        <v>177</v>
      </c>
      <c r="E18" s="19">
        <v>1</v>
      </c>
      <c r="F18" s="19" t="s">
        <v>19</v>
      </c>
      <c r="G18" s="19"/>
    </row>
    <row r="19" spans="1:7" x14ac:dyDescent="0.25">
      <c r="A19" s="22" t="s">
        <v>91</v>
      </c>
      <c r="B19" s="19" t="s">
        <v>34</v>
      </c>
      <c r="C19" s="19" t="s">
        <v>18</v>
      </c>
      <c r="D19" s="19" t="s">
        <v>177</v>
      </c>
      <c r="E19" s="19">
        <v>1</v>
      </c>
      <c r="F19" s="19" t="s">
        <v>19</v>
      </c>
      <c r="G19" s="19"/>
    </row>
    <row r="20" spans="1:7" x14ac:dyDescent="0.25">
      <c r="A20" s="22"/>
      <c r="B20" s="19"/>
      <c r="C20" s="19"/>
      <c r="D20" s="19"/>
      <c r="E20" s="19"/>
      <c r="F20" s="19"/>
      <c r="G20" s="19"/>
    </row>
    <row r="21" spans="1:7" x14ac:dyDescent="0.25">
      <c r="A21" s="22" t="s">
        <v>167</v>
      </c>
      <c r="B21" s="19" t="s">
        <v>35</v>
      </c>
      <c r="C21" s="19" t="s">
        <v>18</v>
      </c>
      <c r="D21" s="19" t="s">
        <v>178</v>
      </c>
      <c r="E21" s="19">
        <v>1</v>
      </c>
      <c r="F21" s="19" t="s">
        <v>19</v>
      </c>
      <c r="G21" s="19"/>
    </row>
    <row r="22" spans="1:7" x14ac:dyDescent="0.25">
      <c r="A22" s="22" t="s">
        <v>92</v>
      </c>
      <c r="B22" s="19" t="s">
        <v>36</v>
      </c>
      <c r="C22" s="19" t="s">
        <v>18</v>
      </c>
      <c r="D22" s="19" t="s">
        <v>179</v>
      </c>
      <c r="E22" s="19">
        <v>1</v>
      </c>
      <c r="F22" s="19" t="s">
        <v>19</v>
      </c>
      <c r="G22" s="19"/>
    </row>
    <row r="23" spans="1:7" x14ac:dyDescent="0.25">
      <c r="A23" s="22" t="s">
        <v>168</v>
      </c>
      <c r="B23" s="19" t="s">
        <v>37</v>
      </c>
      <c r="C23" s="19" t="s">
        <v>18</v>
      </c>
      <c r="D23" s="19" t="s">
        <v>177</v>
      </c>
      <c r="E23" s="19">
        <v>1</v>
      </c>
      <c r="F23" s="19" t="s">
        <v>19</v>
      </c>
      <c r="G23" s="19"/>
    </row>
    <row r="24" spans="1:7" x14ac:dyDescent="0.25">
      <c r="A24" s="22" t="s">
        <v>93</v>
      </c>
      <c r="B24" s="19" t="s">
        <v>38</v>
      </c>
      <c r="C24" s="19" t="s">
        <v>18</v>
      </c>
      <c r="D24" s="19" t="s">
        <v>177</v>
      </c>
      <c r="E24" s="19">
        <v>1</v>
      </c>
      <c r="F24" s="19" t="s">
        <v>19</v>
      </c>
      <c r="G24" s="19"/>
    </row>
    <row r="25" spans="1:7" x14ac:dyDescent="0.25">
      <c r="A25" s="22" t="s">
        <v>94</v>
      </c>
      <c r="B25" s="19" t="s">
        <v>39</v>
      </c>
      <c r="C25" s="19" t="s">
        <v>18</v>
      </c>
      <c r="D25" s="19" t="s">
        <v>177</v>
      </c>
      <c r="E25" s="19">
        <v>1</v>
      </c>
      <c r="F25" s="19" t="s">
        <v>19</v>
      </c>
      <c r="G25" s="19"/>
    </row>
    <row r="26" spans="1:7" x14ac:dyDescent="0.25">
      <c r="A26" s="22" t="s">
        <v>95</v>
      </c>
      <c r="B26" s="19" t="s">
        <v>40</v>
      </c>
      <c r="C26" s="19" t="s">
        <v>18</v>
      </c>
      <c r="D26" s="19" t="s">
        <v>177</v>
      </c>
      <c r="E26" s="19">
        <v>1</v>
      </c>
      <c r="F26" s="19" t="s">
        <v>19</v>
      </c>
      <c r="G26" s="19"/>
    </row>
    <row r="27" spans="1:7" x14ac:dyDescent="0.25">
      <c r="A27" s="22" t="s">
        <v>96</v>
      </c>
      <c r="B27" s="19" t="s">
        <v>41</v>
      </c>
      <c r="C27" s="19" t="s">
        <v>18</v>
      </c>
      <c r="D27" s="19" t="s">
        <v>177</v>
      </c>
      <c r="E27" s="19">
        <v>1</v>
      </c>
      <c r="F27" s="19" t="s">
        <v>19</v>
      </c>
      <c r="G27" s="19"/>
    </row>
    <row r="28" spans="1:7" x14ac:dyDescent="0.25">
      <c r="A28" s="22" t="s">
        <v>97</v>
      </c>
      <c r="B28" s="19" t="s">
        <v>42</v>
      </c>
      <c r="C28" s="19" t="s">
        <v>18</v>
      </c>
      <c r="D28" s="19" t="s">
        <v>177</v>
      </c>
      <c r="E28" s="19">
        <v>1</v>
      </c>
      <c r="F28" s="19" t="s">
        <v>19</v>
      </c>
      <c r="G28" s="19"/>
    </row>
    <row r="29" spans="1:7" x14ac:dyDescent="0.25">
      <c r="A29" s="22" t="s">
        <v>98</v>
      </c>
      <c r="B29" s="19" t="s">
        <v>43</v>
      </c>
      <c r="C29" s="19" t="s">
        <v>18</v>
      </c>
      <c r="D29" s="19" t="s">
        <v>178</v>
      </c>
      <c r="E29" s="19">
        <v>1</v>
      </c>
      <c r="F29" s="19" t="s">
        <v>19</v>
      </c>
      <c r="G29" s="19"/>
    </row>
    <row r="30" spans="1:7" x14ac:dyDescent="0.25">
      <c r="A30" s="22" t="s">
        <v>99</v>
      </c>
      <c r="B30" s="19" t="s">
        <v>44</v>
      </c>
      <c r="C30" s="19" t="s">
        <v>18</v>
      </c>
      <c r="D30" s="19" t="s">
        <v>177</v>
      </c>
      <c r="E30" s="19">
        <v>1</v>
      </c>
      <c r="F30" s="19" t="s">
        <v>19</v>
      </c>
      <c r="G30" s="19"/>
    </row>
    <row r="31" spans="1:7" x14ac:dyDescent="0.25">
      <c r="A31" s="22" t="s">
        <v>100</v>
      </c>
      <c r="B31" s="19" t="s">
        <v>45</v>
      </c>
      <c r="C31" s="19" t="s">
        <v>18</v>
      </c>
      <c r="D31" s="19" t="s">
        <v>177</v>
      </c>
      <c r="E31" s="19">
        <v>1</v>
      </c>
      <c r="F31" s="19" t="s">
        <v>19</v>
      </c>
      <c r="G31" s="19"/>
    </row>
    <row r="32" spans="1:7" x14ac:dyDescent="0.25">
      <c r="A32" s="22" t="s">
        <v>76</v>
      </c>
      <c r="B32" s="19" t="s">
        <v>46</v>
      </c>
      <c r="C32" s="19" t="s">
        <v>18</v>
      </c>
      <c r="D32" s="19" t="s">
        <v>177</v>
      </c>
      <c r="E32" s="19">
        <v>1</v>
      </c>
      <c r="F32" s="19" t="s">
        <v>19</v>
      </c>
      <c r="G32" s="19"/>
    </row>
    <row r="33" spans="1:7" x14ac:dyDescent="0.25">
      <c r="A33" s="22" t="s">
        <v>101</v>
      </c>
      <c r="B33" s="19" t="s">
        <v>47</v>
      </c>
      <c r="C33" s="19" t="s">
        <v>18</v>
      </c>
      <c r="D33" s="19" t="s">
        <v>178</v>
      </c>
      <c r="E33" s="19">
        <v>1</v>
      </c>
      <c r="F33" s="19" t="s">
        <v>19</v>
      </c>
      <c r="G33" s="19"/>
    </row>
    <row r="34" spans="1:7" x14ac:dyDescent="0.25">
      <c r="A34" s="22" t="s">
        <v>102</v>
      </c>
      <c r="B34" s="19" t="s">
        <v>48</v>
      </c>
      <c r="C34" s="19" t="s">
        <v>18</v>
      </c>
      <c r="D34" s="19" t="s">
        <v>178</v>
      </c>
      <c r="E34" s="19">
        <v>1</v>
      </c>
      <c r="F34" s="19" t="s">
        <v>19</v>
      </c>
      <c r="G34" s="19"/>
    </row>
    <row r="35" spans="1:7" x14ac:dyDescent="0.25">
      <c r="A35" s="22" t="s">
        <v>103</v>
      </c>
      <c r="B35" s="19" t="s">
        <v>49</v>
      </c>
      <c r="C35" s="19" t="s">
        <v>18</v>
      </c>
      <c r="D35" s="19" t="s">
        <v>177</v>
      </c>
      <c r="E35" s="19">
        <v>1</v>
      </c>
      <c r="F35" s="19" t="s">
        <v>19</v>
      </c>
      <c r="G35" s="19"/>
    </row>
    <row r="36" spans="1:7" x14ac:dyDescent="0.25">
      <c r="A36" s="22" t="s">
        <v>104</v>
      </c>
      <c r="B36" s="19" t="s">
        <v>50</v>
      </c>
      <c r="C36" s="19" t="s">
        <v>18</v>
      </c>
      <c r="D36" s="19" t="s">
        <v>177</v>
      </c>
      <c r="E36" s="19">
        <v>1</v>
      </c>
      <c r="F36" s="19" t="s">
        <v>19</v>
      </c>
      <c r="G36" s="19"/>
    </row>
    <row r="37" spans="1:7" x14ac:dyDescent="0.25">
      <c r="A37" s="22" t="s">
        <v>57</v>
      </c>
      <c r="B37" s="19" t="s">
        <v>51</v>
      </c>
      <c r="C37" s="19" t="s">
        <v>18</v>
      </c>
      <c r="D37" s="19" t="s">
        <v>170</v>
      </c>
      <c r="E37" s="19">
        <v>1</v>
      </c>
      <c r="F37" s="19" t="s">
        <v>19</v>
      </c>
      <c r="G37" s="19"/>
    </row>
    <row r="38" spans="1:7" x14ac:dyDescent="0.25">
      <c r="A38" s="22" t="s">
        <v>58</v>
      </c>
      <c r="B38" s="19" t="s">
        <v>52</v>
      </c>
      <c r="C38" s="19" t="s">
        <v>18</v>
      </c>
      <c r="D38" s="19" t="s">
        <v>170</v>
      </c>
      <c r="E38" s="19">
        <v>1</v>
      </c>
      <c r="F38" s="19" t="s">
        <v>19</v>
      </c>
      <c r="G38" s="19"/>
    </row>
    <row r="39" spans="1:7" x14ac:dyDescent="0.25">
      <c r="A39" s="22" t="s">
        <v>59</v>
      </c>
      <c r="B39" s="19" t="s">
        <v>53</v>
      </c>
      <c r="C39" s="19" t="s">
        <v>18</v>
      </c>
      <c r="D39" s="19" t="s">
        <v>170</v>
      </c>
      <c r="E39" s="19">
        <v>1</v>
      </c>
      <c r="F39" s="19" t="s">
        <v>19</v>
      </c>
      <c r="G39" s="19"/>
    </row>
    <row r="40" spans="1:7" x14ac:dyDescent="0.25">
      <c r="A40" s="22" t="s">
        <v>60</v>
      </c>
      <c r="B40" s="19" t="s">
        <v>54</v>
      </c>
      <c r="C40" s="19" t="s">
        <v>18</v>
      </c>
      <c r="D40" s="19" t="s">
        <v>61</v>
      </c>
      <c r="E40" s="19">
        <v>1</v>
      </c>
      <c r="F40" s="19" t="s">
        <v>19</v>
      </c>
      <c r="G40" s="19"/>
    </row>
  </sheetData>
  <mergeCells count="2">
    <mergeCell ref="E2:G2"/>
    <mergeCell ref="A1:G1"/>
  </mergeCells>
  <phoneticPr fontId="18" type="noConversion"/>
  <hyperlinks>
    <hyperlink ref="H1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497" r:id="rId5" name="CommandButton1">
          <controlPr defaultSize="0" autoLine="0" r:id="rId6">
            <anchor moveWithCells="1">
              <from>
                <xdr:col>6</xdr:col>
                <xdr:colOff>438150</xdr:colOff>
                <xdr:row>0</xdr:row>
                <xdr:rowOff>0</xdr:rowOff>
              </from>
              <to>
                <xdr:col>6</xdr:col>
                <xdr:colOff>1238250</xdr:colOff>
                <xdr:row>1</xdr:row>
                <xdr:rowOff>9525</xdr:rowOff>
              </to>
            </anchor>
          </controlPr>
        </control>
      </mc:Choice>
      <mc:Fallback>
        <control shapeId="106497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0">
    <tabColor rgb="FFFF0000"/>
    <pageSetUpPr fitToPage="1"/>
  </sheetPr>
  <dimension ref="A1:AA39"/>
  <sheetViews>
    <sheetView zoomScaleNormal="100" workbookViewId="0">
      <pane xSplit="2" ySplit="3" topLeftCell="C27" activePane="bottomRight" state="frozen"/>
      <selection activeCell="B3" sqref="B3"/>
      <selection pane="topRight" activeCell="B3" sqref="B3"/>
      <selection pane="bottomLeft" activeCell="B3" sqref="B3"/>
      <selection pane="bottomRight" activeCell="AA29" sqref="AA29"/>
    </sheetView>
  </sheetViews>
  <sheetFormatPr defaultRowHeight="27" customHeight="1" x14ac:dyDescent="0.25"/>
  <cols>
    <col min="1" max="1" width="6.875" style="1" customWidth="1"/>
    <col min="2" max="2" width="7.875" style="1" customWidth="1"/>
    <col min="3" max="24" width="4.75" style="1" customWidth="1"/>
    <col min="25" max="16384" width="9" style="1"/>
  </cols>
  <sheetData>
    <row r="1" spans="1:27" ht="27" customHeight="1" x14ac:dyDescent="0.25">
      <c r="A1" s="50" t="s">
        <v>165</v>
      </c>
      <c r="B1" s="51"/>
      <c r="C1" s="52" t="s">
        <v>65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4"/>
    </row>
    <row r="2" spans="1:27" ht="27" customHeight="1" x14ac:dyDescent="0.25">
      <c r="A2" s="55" t="s">
        <v>66</v>
      </c>
      <c r="B2" s="56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R2" s="2">
        <v>16</v>
      </c>
      <c r="S2" s="2">
        <v>17</v>
      </c>
      <c r="T2" s="2">
        <v>18</v>
      </c>
      <c r="U2" s="2">
        <v>19</v>
      </c>
      <c r="V2" s="2">
        <v>20</v>
      </c>
      <c r="W2" s="2">
        <v>21</v>
      </c>
      <c r="X2" s="2">
        <v>22</v>
      </c>
    </row>
    <row r="3" spans="1:27" ht="27" customHeight="1" x14ac:dyDescent="0.25">
      <c r="A3" s="10" t="s">
        <v>0</v>
      </c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1" t="str">
        <f>IF(SUMPRODUCT(Y4:Y36)=0,"","作業成績")</f>
        <v/>
      </c>
      <c r="Z3" s="1" t="str">
        <f>IF(SUMPRODUCT(Z4:Z36)=0,"","未交扣分")</f>
        <v/>
      </c>
      <c r="AA3" s="1" t="str">
        <f>IF(SUMPRODUCT(AA4:AA36)=0,"","學期成績")</f>
        <v/>
      </c>
    </row>
    <row r="4" spans="1:27" ht="27" customHeight="1" x14ac:dyDescent="0.25">
      <c r="A4" s="10">
        <v>1</v>
      </c>
      <c r="B4" s="10" t="s">
        <v>149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1" t="str">
        <f>IF(ISNUMBER(AVERAGEIF(C4:X4,"&gt;=60")),AVERAGEIF(C4:X4,"&gt;=60"),"")</f>
        <v/>
      </c>
      <c r="Z4" s="1" t="str">
        <f>IF(SUMIF(C4:X4,"&lt;10")=0,"",SUMIF(C4:X4,"&lt;10"))</f>
        <v/>
      </c>
      <c r="AA4" s="1" t="str">
        <f>IF(SUMPRODUCT(Y4:Z4)=0,"",SUMPRODUCT(Y4:Z4))</f>
        <v/>
      </c>
    </row>
    <row r="5" spans="1:27" ht="27" customHeight="1" x14ac:dyDescent="0.25">
      <c r="A5" s="10">
        <v>2</v>
      </c>
      <c r="B5" s="10" t="s">
        <v>150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1" t="str">
        <f t="shared" ref="Y5:Y39" si="0">IF(ISNUMBER(AVERAGEIF(C5:X5,"&gt;=60")),AVERAGEIF(C5:X5,"&gt;=60"),"")</f>
        <v/>
      </c>
      <c r="Z5" s="1" t="str">
        <f t="shared" ref="Z5:Z39" si="1">IF(SUMIF(C5:X5,"&lt;10")=0,"",SUMIF(C5:X5,"&lt;10"))</f>
        <v/>
      </c>
      <c r="AA5" s="1" t="str">
        <f t="shared" ref="AA5:AA39" si="2">IF(SUMPRODUCT(Y5:Z5)=0,"",SUMPRODUCT(Y5:Z5))</f>
        <v/>
      </c>
    </row>
    <row r="6" spans="1:27" ht="27" customHeight="1" x14ac:dyDescent="0.25">
      <c r="A6" s="10">
        <v>3</v>
      </c>
      <c r="B6" s="10" t="s">
        <v>151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1" t="str">
        <f t="shared" si="0"/>
        <v/>
      </c>
      <c r="Z6" s="1" t="str">
        <f t="shared" si="1"/>
        <v/>
      </c>
      <c r="AA6" s="1" t="str">
        <f t="shared" si="2"/>
        <v/>
      </c>
    </row>
    <row r="7" spans="1:27" ht="27" customHeight="1" x14ac:dyDescent="0.25">
      <c r="A7" s="10">
        <v>4</v>
      </c>
      <c r="B7" s="10" t="s">
        <v>152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1" t="str">
        <f t="shared" si="0"/>
        <v/>
      </c>
      <c r="Z7" s="1" t="str">
        <f t="shared" si="1"/>
        <v/>
      </c>
      <c r="AA7" s="1" t="str">
        <f t="shared" si="2"/>
        <v/>
      </c>
    </row>
    <row r="8" spans="1:27" ht="27" customHeight="1" x14ac:dyDescent="0.25">
      <c r="A8" s="10">
        <v>5</v>
      </c>
      <c r="B8" s="10" t="s">
        <v>153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1" t="str">
        <f t="shared" si="0"/>
        <v/>
      </c>
      <c r="Z8" s="1" t="str">
        <f t="shared" si="1"/>
        <v/>
      </c>
      <c r="AA8" s="1" t="str">
        <f t="shared" si="2"/>
        <v/>
      </c>
    </row>
    <row r="9" spans="1:27" ht="27" customHeight="1" x14ac:dyDescent="0.25">
      <c r="A9" s="10">
        <v>6</v>
      </c>
      <c r="B9" s="10" t="s">
        <v>154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1" t="str">
        <f t="shared" si="0"/>
        <v/>
      </c>
      <c r="Z9" s="1" t="str">
        <f t="shared" si="1"/>
        <v/>
      </c>
      <c r="AA9" s="1" t="str">
        <f t="shared" si="2"/>
        <v/>
      </c>
    </row>
    <row r="10" spans="1:27" ht="27" customHeight="1" x14ac:dyDescent="0.25">
      <c r="A10" s="10">
        <v>7</v>
      </c>
      <c r="B10" s="10" t="s">
        <v>155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1" t="str">
        <f t="shared" si="0"/>
        <v/>
      </c>
      <c r="Z10" s="1" t="str">
        <f t="shared" si="1"/>
        <v/>
      </c>
      <c r="AA10" s="1" t="str">
        <f t="shared" si="2"/>
        <v/>
      </c>
    </row>
    <row r="11" spans="1:27" ht="27" customHeight="1" x14ac:dyDescent="0.25">
      <c r="A11" s="10">
        <v>8</v>
      </c>
      <c r="B11" s="10" t="s">
        <v>156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1" t="str">
        <f t="shared" si="0"/>
        <v/>
      </c>
      <c r="Z11" s="1" t="str">
        <f t="shared" si="1"/>
        <v/>
      </c>
      <c r="AA11" s="1" t="str">
        <f t="shared" si="2"/>
        <v/>
      </c>
    </row>
    <row r="12" spans="1:27" ht="27" customHeight="1" x14ac:dyDescent="0.25">
      <c r="A12" s="10">
        <v>9</v>
      </c>
      <c r="B12" s="10" t="s">
        <v>151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1" t="str">
        <f t="shared" si="0"/>
        <v/>
      </c>
      <c r="Z12" s="1" t="str">
        <f t="shared" si="1"/>
        <v/>
      </c>
      <c r="AA12" s="1" t="str">
        <f t="shared" si="2"/>
        <v/>
      </c>
    </row>
    <row r="13" spans="1:27" ht="27" customHeight="1" x14ac:dyDescent="0.25">
      <c r="A13" s="10">
        <v>10</v>
      </c>
      <c r="B13" s="10" t="s">
        <v>157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1" t="str">
        <f t="shared" si="0"/>
        <v/>
      </c>
      <c r="Z13" s="1" t="str">
        <f t="shared" si="1"/>
        <v/>
      </c>
      <c r="AA13" s="1" t="str">
        <f t="shared" si="2"/>
        <v/>
      </c>
    </row>
    <row r="14" spans="1:27" ht="27" customHeight="1" x14ac:dyDescent="0.25">
      <c r="A14" s="10">
        <v>11</v>
      </c>
      <c r="B14" s="10" t="s">
        <v>158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1" t="str">
        <f t="shared" si="0"/>
        <v/>
      </c>
      <c r="Z14" s="1" t="str">
        <f t="shared" si="1"/>
        <v/>
      </c>
      <c r="AA14" s="1" t="str">
        <f t="shared" si="2"/>
        <v/>
      </c>
    </row>
    <row r="15" spans="1:27" ht="27" customHeight="1" x14ac:dyDescent="0.25">
      <c r="A15" s="10">
        <v>12</v>
      </c>
      <c r="B15" s="10" t="s">
        <v>159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1" t="str">
        <f t="shared" si="0"/>
        <v/>
      </c>
      <c r="Z15" s="1" t="str">
        <f t="shared" si="1"/>
        <v/>
      </c>
      <c r="AA15" s="1" t="str">
        <f t="shared" si="2"/>
        <v/>
      </c>
    </row>
    <row r="16" spans="1:27" ht="27" customHeight="1" x14ac:dyDescent="0.25">
      <c r="A16" s="10">
        <v>13</v>
      </c>
      <c r="B16" s="10" t="s">
        <v>160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1" t="str">
        <f t="shared" si="0"/>
        <v/>
      </c>
      <c r="Z16" s="1" t="str">
        <f t="shared" si="1"/>
        <v/>
      </c>
      <c r="AA16" s="1" t="str">
        <f t="shared" si="2"/>
        <v/>
      </c>
    </row>
    <row r="17" spans="1:27" ht="27" customHeight="1" x14ac:dyDescent="0.25">
      <c r="A17" s="10">
        <v>14</v>
      </c>
      <c r="B17" s="10" t="s">
        <v>161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1" t="str">
        <f t="shared" si="0"/>
        <v/>
      </c>
      <c r="Z17" s="1" t="str">
        <f t="shared" si="1"/>
        <v/>
      </c>
      <c r="AA17" s="1" t="str">
        <f t="shared" si="2"/>
        <v/>
      </c>
    </row>
    <row r="18" spans="1:27" ht="27" customHeight="1" x14ac:dyDescent="0.25">
      <c r="A18" s="10">
        <v>15</v>
      </c>
      <c r="B18" s="10" t="s">
        <v>162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1" t="str">
        <f t="shared" si="0"/>
        <v/>
      </c>
      <c r="Z18" s="1" t="str">
        <f t="shared" si="1"/>
        <v/>
      </c>
      <c r="AA18" s="1" t="str">
        <f t="shared" si="2"/>
        <v/>
      </c>
    </row>
    <row r="19" spans="1:27" ht="27" customHeight="1" x14ac:dyDescent="0.25">
      <c r="A19" s="10">
        <v>16</v>
      </c>
      <c r="B19" s="10" t="s">
        <v>163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1" t="str">
        <f t="shared" si="0"/>
        <v/>
      </c>
      <c r="Z19" s="1" t="str">
        <f t="shared" si="1"/>
        <v/>
      </c>
      <c r="AA19" s="1" t="str">
        <f t="shared" si="2"/>
        <v/>
      </c>
    </row>
    <row r="20" spans="1:27" ht="27" customHeight="1" x14ac:dyDescent="0.25">
      <c r="A20" s="10"/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1" t="str">
        <f t="shared" si="0"/>
        <v/>
      </c>
      <c r="Z20" s="1" t="str">
        <f t="shared" si="1"/>
        <v/>
      </c>
      <c r="AA20" s="1" t="str">
        <f t="shared" si="2"/>
        <v/>
      </c>
    </row>
    <row r="21" spans="1:27" ht="27" customHeight="1" x14ac:dyDescent="0.25">
      <c r="A21" s="10">
        <v>21</v>
      </c>
      <c r="B21" s="10" t="s">
        <v>180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1" t="str">
        <f t="shared" si="0"/>
        <v/>
      </c>
      <c r="Z21" s="1" t="str">
        <f t="shared" si="1"/>
        <v/>
      </c>
      <c r="AA21" s="1" t="str">
        <f t="shared" si="2"/>
        <v/>
      </c>
    </row>
    <row r="22" spans="1:27" ht="27" customHeight="1" x14ac:dyDescent="0.25">
      <c r="A22" s="10">
        <v>22</v>
      </c>
      <c r="B22" s="10" t="s">
        <v>181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1" t="str">
        <f t="shared" si="0"/>
        <v/>
      </c>
      <c r="Z22" s="1" t="str">
        <f t="shared" si="1"/>
        <v/>
      </c>
      <c r="AA22" s="1" t="str">
        <f t="shared" si="2"/>
        <v/>
      </c>
    </row>
    <row r="23" spans="1:27" ht="27" customHeight="1" x14ac:dyDescent="0.25">
      <c r="A23" s="10">
        <v>23</v>
      </c>
      <c r="B23" s="10" t="s">
        <v>182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1" t="str">
        <f t="shared" si="0"/>
        <v/>
      </c>
      <c r="Z23" s="1" t="str">
        <f t="shared" si="1"/>
        <v/>
      </c>
      <c r="AA23" s="1" t="str">
        <f t="shared" si="2"/>
        <v/>
      </c>
    </row>
    <row r="24" spans="1:27" ht="27" customHeight="1" x14ac:dyDescent="0.25">
      <c r="A24" s="10">
        <v>24</v>
      </c>
      <c r="B24" s="10" t="s">
        <v>183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1" t="str">
        <f t="shared" si="0"/>
        <v/>
      </c>
      <c r="Z24" s="1" t="str">
        <f t="shared" si="1"/>
        <v/>
      </c>
      <c r="AA24" s="1" t="str">
        <f t="shared" si="2"/>
        <v/>
      </c>
    </row>
    <row r="25" spans="1:27" ht="27" customHeight="1" x14ac:dyDescent="0.25">
      <c r="A25" s="10">
        <v>25</v>
      </c>
      <c r="B25" s="10" t="s">
        <v>184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1" t="str">
        <f t="shared" si="0"/>
        <v/>
      </c>
      <c r="Z25" s="1" t="str">
        <f t="shared" si="1"/>
        <v/>
      </c>
      <c r="AA25" s="1" t="str">
        <f t="shared" si="2"/>
        <v/>
      </c>
    </row>
    <row r="26" spans="1:27" ht="27" customHeight="1" x14ac:dyDescent="0.25">
      <c r="A26" s="10">
        <v>26</v>
      </c>
      <c r="B26" s="10" t="s">
        <v>185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1" t="str">
        <f t="shared" si="0"/>
        <v/>
      </c>
      <c r="Z26" s="1" t="str">
        <f t="shared" si="1"/>
        <v/>
      </c>
      <c r="AA26" s="1" t="str">
        <f t="shared" si="2"/>
        <v/>
      </c>
    </row>
    <row r="27" spans="1:27" ht="27" customHeight="1" x14ac:dyDescent="0.25">
      <c r="A27" s="10">
        <v>27</v>
      </c>
      <c r="B27" s="10" t="s">
        <v>186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1" t="str">
        <f t="shared" si="0"/>
        <v/>
      </c>
      <c r="Z27" s="1" t="str">
        <f t="shared" si="1"/>
        <v/>
      </c>
      <c r="AA27" s="1" t="str">
        <f t="shared" si="2"/>
        <v/>
      </c>
    </row>
    <row r="28" spans="1:27" ht="27" customHeight="1" x14ac:dyDescent="0.25">
      <c r="A28" s="10">
        <v>28</v>
      </c>
      <c r="B28" s="10" t="s">
        <v>187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1" t="str">
        <f t="shared" si="0"/>
        <v/>
      </c>
      <c r="Z28" s="1" t="str">
        <f t="shared" si="1"/>
        <v/>
      </c>
      <c r="AA28" s="1" t="str">
        <f t="shared" si="2"/>
        <v/>
      </c>
    </row>
    <row r="29" spans="1:27" ht="27" customHeight="1" x14ac:dyDescent="0.25">
      <c r="A29" s="10">
        <v>29</v>
      </c>
      <c r="B29" s="10" t="s">
        <v>188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1" t="str">
        <f t="shared" si="0"/>
        <v/>
      </c>
      <c r="Z29" s="1" t="str">
        <f t="shared" si="1"/>
        <v/>
      </c>
      <c r="AA29" s="1" t="str">
        <f t="shared" si="2"/>
        <v/>
      </c>
    </row>
    <row r="30" spans="1:27" ht="27" customHeight="1" x14ac:dyDescent="0.25">
      <c r="A30" s="10">
        <v>30</v>
      </c>
      <c r="B30" s="10" t="s">
        <v>189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1" t="str">
        <f t="shared" si="0"/>
        <v/>
      </c>
      <c r="Z30" s="1" t="str">
        <f t="shared" si="1"/>
        <v/>
      </c>
      <c r="AA30" s="1" t="str">
        <f t="shared" si="2"/>
        <v/>
      </c>
    </row>
    <row r="31" spans="1:27" ht="27" customHeight="1" x14ac:dyDescent="0.25">
      <c r="A31" s="10">
        <v>31</v>
      </c>
      <c r="B31" s="10" t="s">
        <v>190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1" t="str">
        <f t="shared" si="0"/>
        <v/>
      </c>
      <c r="Z31" s="1" t="str">
        <f t="shared" si="1"/>
        <v/>
      </c>
      <c r="AA31" s="1" t="str">
        <f t="shared" si="2"/>
        <v/>
      </c>
    </row>
    <row r="32" spans="1:27" ht="27" customHeight="1" x14ac:dyDescent="0.25">
      <c r="A32" s="10">
        <v>32</v>
      </c>
      <c r="B32" s="10" t="s">
        <v>191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1" t="str">
        <f t="shared" si="0"/>
        <v/>
      </c>
      <c r="Z32" s="1" t="str">
        <f t="shared" si="1"/>
        <v/>
      </c>
      <c r="AA32" s="1" t="str">
        <f t="shared" si="2"/>
        <v/>
      </c>
    </row>
    <row r="33" spans="1:27" ht="27" customHeight="1" x14ac:dyDescent="0.25">
      <c r="A33" s="10">
        <v>33</v>
      </c>
      <c r="B33" s="10" t="s">
        <v>192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1" t="str">
        <f t="shared" si="0"/>
        <v/>
      </c>
      <c r="Z33" s="1" t="str">
        <f t="shared" si="1"/>
        <v/>
      </c>
      <c r="AA33" s="1" t="str">
        <f t="shared" si="2"/>
        <v/>
      </c>
    </row>
    <row r="34" spans="1:27" ht="27" customHeight="1" x14ac:dyDescent="0.25">
      <c r="A34" s="10">
        <v>34</v>
      </c>
      <c r="B34" s="10" t="s">
        <v>193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1" t="str">
        <f t="shared" si="0"/>
        <v/>
      </c>
      <c r="Z34" s="1" t="str">
        <f t="shared" si="1"/>
        <v/>
      </c>
      <c r="AA34" s="1" t="str">
        <f t="shared" si="2"/>
        <v/>
      </c>
    </row>
    <row r="35" spans="1:27" ht="27" customHeight="1" x14ac:dyDescent="0.25">
      <c r="A35" s="10">
        <v>35</v>
      </c>
      <c r="B35" s="10" t="s">
        <v>194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1" t="str">
        <f t="shared" si="0"/>
        <v/>
      </c>
      <c r="Z35" s="1" t="str">
        <f t="shared" si="1"/>
        <v/>
      </c>
      <c r="AA35" s="1" t="str">
        <f t="shared" si="2"/>
        <v/>
      </c>
    </row>
    <row r="36" spans="1:27" ht="27" customHeight="1" x14ac:dyDescent="0.25">
      <c r="A36" s="10">
        <v>36</v>
      </c>
      <c r="B36" s="10" t="s">
        <v>195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1" t="str">
        <f t="shared" si="0"/>
        <v/>
      </c>
      <c r="Z36" s="1" t="str">
        <f t="shared" si="1"/>
        <v/>
      </c>
      <c r="AA36" s="1" t="str">
        <f t="shared" si="2"/>
        <v/>
      </c>
    </row>
    <row r="37" spans="1:27" ht="27" customHeight="1" x14ac:dyDescent="0.25">
      <c r="A37" s="10"/>
      <c r="B37" s="10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1" t="str">
        <f t="shared" si="0"/>
        <v/>
      </c>
      <c r="Z37" s="1" t="str">
        <f t="shared" si="1"/>
        <v/>
      </c>
      <c r="AA37" s="1" t="str">
        <f t="shared" si="2"/>
        <v/>
      </c>
    </row>
    <row r="38" spans="1:27" ht="27" customHeight="1" x14ac:dyDescent="0.25">
      <c r="A38" s="10"/>
      <c r="B38" s="10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1" t="str">
        <f t="shared" si="0"/>
        <v/>
      </c>
      <c r="Z38" s="1" t="str">
        <f t="shared" si="1"/>
        <v/>
      </c>
      <c r="AA38" s="1" t="str">
        <f t="shared" si="2"/>
        <v/>
      </c>
    </row>
    <row r="39" spans="1:27" ht="27" customHeight="1" x14ac:dyDescent="0.25">
      <c r="A39" s="10"/>
      <c r="B39" s="10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1" t="str">
        <f t="shared" si="0"/>
        <v/>
      </c>
      <c r="Z39" s="1" t="str">
        <f t="shared" si="1"/>
        <v/>
      </c>
      <c r="AA39" s="1" t="str">
        <f t="shared" si="2"/>
        <v/>
      </c>
    </row>
  </sheetData>
  <mergeCells count="3">
    <mergeCell ref="A1:B1"/>
    <mergeCell ref="C1:X1"/>
    <mergeCell ref="A2:B2"/>
  </mergeCells>
  <phoneticPr fontId="18" type="noConversion"/>
  <dataValidations count="1">
    <dataValidation allowBlank="1" showInputMessage="1" showErrorMessage="1" prompt="月/日" sqref="C3:X3"/>
  </dataValidations>
  <pageMargins left="0.23622047244094491" right="0.23622047244094491" top="0.74803149606299213" bottom="0.74803149606299213" header="0.31496062992125984" footer="0.31496062992125984"/>
  <pageSetup paperSize="9" scale="7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3665" r:id="rId4" name="CommandButton1">
          <controlPr defaultSize="0" autoLine="0" r:id="rId5">
            <anchor moveWithCells="1">
              <from>
                <xdr:col>21</xdr:col>
                <xdr:colOff>276225</xdr:colOff>
                <xdr:row>0</xdr:row>
                <xdr:rowOff>0</xdr:rowOff>
              </from>
              <to>
                <xdr:col>23</xdr:col>
                <xdr:colOff>352425</xdr:colOff>
                <xdr:row>0</xdr:row>
                <xdr:rowOff>333375</xdr:rowOff>
              </to>
            </anchor>
          </controlPr>
        </control>
      </mc:Choice>
      <mc:Fallback>
        <control shapeId="1136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6">
    <tabColor rgb="FF92D050"/>
    <pageSetUpPr fitToPage="1"/>
  </sheetPr>
  <dimension ref="A1:AE39"/>
  <sheetViews>
    <sheetView zoomScaleNormal="100" workbookViewId="0">
      <pane xSplit="4" ySplit="3" topLeftCell="E4" activePane="bottomRight" state="frozen"/>
      <selection activeCell="B3" sqref="B3"/>
      <selection pane="topRight" activeCell="B3" sqref="B3"/>
      <selection pane="bottomLeft" activeCell="B3" sqref="B3"/>
      <selection pane="bottomRight" activeCell="H7" sqref="H7"/>
    </sheetView>
  </sheetViews>
  <sheetFormatPr defaultRowHeight="27" customHeight="1" x14ac:dyDescent="0.25"/>
  <cols>
    <col min="1" max="1" width="7.5" style="1" customWidth="1"/>
    <col min="2" max="2" width="10.25" style="1" customWidth="1"/>
    <col min="3" max="3" width="6.875" style="1" customWidth="1"/>
    <col min="4" max="4" width="10.75" style="1" customWidth="1"/>
    <col min="5" max="26" width="4.75" style="1" customWidth="1"/>
    <col min="27" max="30" width="9" style="1"/>
    <col min="31" max="31" width="13.5" style="1" customWidth="1"/>
    <col min="32" max="16384" width="9" style="1"/>
  </cols>
  <sheetData>
    <row r="1" spans="1:31" ht="27" customHeight="1" x14ac:dyDescent="0.25">
      <c r="A1" s="50" t="s">
        <v>165</v>
      </c>
      <c r="B1" s="50"/>
      <c r="C1" s="50"/>
      <c r="D1" s="50"/>
      <c r="E1" s="57" t="str">
        <f ca="1">INDIRECT(CONCATENATE("'",$A$1,"'!c1"))</f>
        <v>臺北市石牌國民小學104學年度上學期學期成績(導師：王大頭)</v>
      </c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8"/>
      <c r="AA1" s="2"/>
      <c r="AB1" s="2"/>
      <c r="AC1" s="2"/>
      <c r="AD1" s="2"/>
      <c r="AE1" s="2"/>
    </row>
    <row r="2" spans="1:31" ht="27" customHeight="1" x14ac:dyDescent="0.25">
      <c r="A2" s="61" t="s">
        <v>111</v>
      </c>
      <c r="B2" s="59" t="str">
        <f ca="1">INDIRECT(CONCATENATE("'",$A$1,"'!a2"))</f>
        <v xml:space="preserve">           週次
日期(月/日)</v>
      </c>
      <c r="C2" s="60"/>
      <c r="D2" s="60"/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  <c r="L2" s="2">
        <v>8</v>
      </c>
      <c r="M2" s="2">
        <v>9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>
        <v>19</v>
      </c>
      <c r="X2" s="2">
        <v>20</v>
      </c>
      <c r="Y2" s="2">
        <v>21</v>
      </c>
      <c r="Z2" s="2">
        <v>22</v>
      </c>
      <c r="AA2" s="2"/>
      <c r="AB2" s="11">
        <v>42493</v>
      </c>
      <c r="AC2" s="2"/>
      <c r="AD2" s="2"/>
      <c r="AE2" s="2"/>
    </row>
    <row r="3" spans="1:31" ht="33" customHeight="1" x14ac:dyDescent="0.25">
      <c r="A3" s="62"/>
      <c r="B3" s="27" t="s">
        <v>196</v>
      </c>
      <c r="C3" s="26" t="s">
        <v>110</v>
      </c>
      <c r="D3" s="15" t="s">
        <v>164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2" t="s">
        <v>7</v>
      </c>
      <c r="AB3" s="2" t="s">
        <v>10</v>
      </c>
      <c r="AC3" s="2" t="s">
        <v>9</v>
      </c>
      <c r="AD3" s="2" t="s">
        <v>8</v>
      </c>
      <c r="AE3" s="2" t="s">
        <v>169</v>
      </c>
    </row>
    <row r="4" spans="1:31" ht="27" customHeight="1" x14ac:dyDescent="0.25">
      <c r="A4" s="24" t="s">
        <v>73</v>
      </c>
      <c r="B4" s="38" t="s">
        <v>197</v>
      </c>
      <c r="C4" s="10">
        <f t="shared" ref="C4:C39" ca="1" si="0">IF(INDIRECT(CONCATENATE("'",$A$1,"'!A4:a40"))="","",INDIRECT(CONCATENATE("'",$A$1,"'!A4:a40")))</f>
        <v>1</v>
      </c>
      <c r="D4" s="10" t="str">
        <f t="shared" ref="D4:D39" ca="1" si="1">IF(INDIRECT(CONCATENATE("'",$A$1,"'!b4:b40"))="","",INDIRECT(CONCATENATE("'",$A$1,"'!b4:b40")))</f>
        <v>bin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2">
        <f ca="1">IF(D4= "","",SUM(E4:Z4))</f>
        <v>0</v>
      </c>
      <c r="AB4" s="2"/>
      <c r="AC4" s="2"/>
      <c r="AD4" s="2">
        <f ca="1">IF(D4="","",AA4-AB4-AC4)</f>
        <v>0</v>
      </c>
      <c r="AE4" s="2"/>
    </row>
    <row r="5" spans="1:31" ht="27" customHeight="1" x14ac:dyDescent="0.25">
      <c r="A5" s="24" t="s">
        <v>78</v>
      </c>
      <c r="B5" s="38" t="s">
        <v>197</v>
      </c>
      <c r="C5" s="10">
        <f t="shared" ca="1" si="0"/>
        <v>2</v>
      </c>
      <c r="D5" s="10" t="str">
        <f t="shared" ca="1" si="1"/>
        <v xml:space="preserve">ken 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2">
        <f t="shared" ref="AA5:AA39" ca="1" si="2">IF(D5= "","",SUM(E5:Z5))</f>
        <v>0</v>
      </c>
      <c r="AB5" s="2"/>
      <c r="AC5" s="2"/>
      <c r="AD5" s="2">
        <f t="shared" ref="AD5:AD39" ca="1" si="3">IF(D5="","",AA5-AB5-AC5)</f>
        <v>0</v>
      </c>
      <c r="AE5" s="2"/>
    </row>
    <row r="6" spans="1:31" ht="27" customHeight="1" x14ac:dyDescent="0.25">
      <c r="A6" s="25" t="s">
        <v>171</v>
      </c>
      <c r="B6" s="38" t="s">
        <v>197</v>
      </c>
      <c r="C6" s="10">
        <f t="shared" ca="1" si="0"/>
        <v>3</v>
      </c>
      <c r="D6" s="10" t="str">
        <f t="shared" ca="1" si="1"/>
        <v>ten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2">
        <f t="shared" ca="1" si="2"/>
        <v>0</v>
      </c>
      <c r="AB6" s="2"/>
      <c r="AC6" s="2"/>
      <c r="AD6" s="2">
        <f t="shared" ca="1" si="3"/>
        <v>0</v>
      </c>
      <c r="AE6" s="2"/>
    </row>
    <row r="7" spans="1:31" ht="27" customHeight="1" x14ac:dyDescent="0.25">
      <c r="A7" s="24" t="s">
        <v>80</v>
      </c>
      <c r="B7" s="38" t="s">
        <v>197</v>
      </c>
      <c r="C7" s="10">
        <f t="shared" ca="1" si="0"/>
        <v>4</v>
      </c>
      <c r="D7" s="10" t="s">
        <v>112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2">
        <f t="shared" si="2"/>
        <v>0</v>
      </c>
      <c r="AB7" s="2"/>
      <c r="AC7" s="2"/>
      <c r="AD7" s="2">
        <f t="shared" si="3"/>
        <v>0</v>
      </c>
      <c r="AE7" s="2"/>
    </row>
    <row r="8" spans="1:31" ht="27" customHeight="1" x14ac:dyDescent="0.25">
      <c r="A8" s="25" t="s">
        <v>172</v>
      </c>
      <c r="B8" s="16" t="s">
        <v>202</v>
      </c>
      <c r="C8" s="10">
        <f t="shared" ca="1" si="0"/>
        <v>5</v>
      </c>
      <c r="D8" s="10" t="str">
        <f t="shared" ca="1" si="1"/>
        <v>jen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2">
        <f t="shared" ca="1" si="2"/>
        <v>0</v>
      </c>
      <c r="AB8" s="2"/>
      <c r="AC8" s="2"/>
      <c r="AD8" s="2">
        <f t="shared" ca="1" si="3"/>
        <v>0</v>
      </c>
      <c r="AE8" s="2"/>
    </row>
    <row r="9" spans="1:31" ht="27" customHeight="1" x14ac:dyDescent="0.25">
      <c r="A9" s="24" t="s">
        <v>82</v>
      </c>
      <c r="B9" s="16" t="s">
        <v>202</v>
      </c>
      <c r="C9" s="10">
        <f t="shared" ca="1" si="0"/>
        <v>6</v>
      </c>
      <c r="D9" s="10" t="str">
        <f t="shared" ca="1" si="1"/>
        <v>xen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>
        <f t="shared" ca="1" si="2"/>
        <v>0</v>
      </c>
      <c r="AB9" s="2"/>
      <c r="AC9" s="2"/>
      <c r="AD9" s="2">
        <f t="shared" ca="1" si="3"/>
        <v>0</v>
      </c>
      <c r="AE9" s="2"/>
    </row>
    <row r="10" spans="1:31" ht="27" customHeight="1" x14ac:dyDescent="0.25">
      <c r="A10" s="24" t="s">
        <v>83</v>
      </c>
      <c r="B10" s="16" t="s">
        <v>202</v>
      </c>
      <c r="C10" s="10">
        <f t="shared" ca="1" si="0"/>
        <v>7</v>
      </c>
      <c r="D10" s="10" t="str">
        <f t="shared" ca="1" si="1"/>
        <v>len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2">
        <f t="shared" ca="1" si="2"/>
        <v>0</v>
      </c>
      <c r="AB10" s="2"/>
      <c r="AC10" s="2"/>
      <c r="AD10" s="2">
        <f t="shared" ca="1" si="3"/>
        <v>0</v>
      </c>
      <c r="AE10" s="2"/>
    </row>
    <row r="11" spans="1:31" ht="27" customHeight="1" x14ac:dyDescent="0.25">
      <c r="A11" s="24" t="s">
        <v>107</v>
      </c>
      <c r="B11" s="16" t="s">
        <v>202</v>
      </c>
      <c r="C11" s="10">
        <f t="shared" ca="1" si="0"/>
        <v>8</v>
      </c>
      <c r="D11" s="10" t="str">
        <f t="shared" ca="1" si="1"/>
        <v>yen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2">
        <f t="shared" ca="1" si="2"/>
        <v>0</v>
      </c>
      <c r="AB11" s="2"/>
      <c r="AC11" s="2"/>
      <c r="AD11" s="2">
        <f t="shared" ca="1" si="3"/>
        <v>0</v>
      </c>
      <c r="AE11" s="2"/>
    </row>
    <row r="12" spans="1:31" ht="27" customHeight="1" x14ac:dyDescent="0.25">
      <c r="A12" s="24" t="s">
        <v>106</v>
      </c>
      <c r="B12" s="17" t="s">
        <v>71</v>
      </c>
      <c r="C12" s="10">
        <f t="shared" ca="1" si="0"/>
        <v>9</v>
      </c>
      <c r="D12" s="10" t="str">
        <f t="shared" ca="1" si="1"/>
        <v>ten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2">
        <f t="shared" ca="1" si="2"/>
        <v>0</v>
      </c>
      <c r="AB12" s="2"/>
      <c r="AC12" s="2"/>
      <c r="AD12" s="2">
        <f t="shared" ca="1" si="3"/>
        <v>0</v>
      </c>
      <c r="AE12" s="2"/>
    </row>
    <row r="13" spans="1:31" ht="27" customHeight="1" x14ac:dyDescent="0.25">
      <c r="A13" s="24" t="s">
        <v>74</v>
      </c>
      <c r="B13" s="17" t="s">
        <v>71</v>
      </c>
      <c r="C13" s="10">
        <f t="shared" ca="1" si="0"/>
        <v>10</v>
      </c>
      <c r="D13" s="10" t="str">
        <f t="shared" ca="1" si="1"/>
        <v>gen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2">
        <f t="shared" ca="1" si="2"/>
        <v>0</v>
      </c>
      <c r="AB13" s="2"/>
      <c r="AC13" s="2"/>
      <c r="AD13" s="2">
        <f t="shared" ca="1" si="3"/>
        <v>0</v>
      </c>
      <c r="AE13" s="2"/>
    </row>
    <row r="14" spans="1:31" ht="27" customHeight="1" x14ac:dyDescent="0.25">
      <c r="A14" s="24" t="s">
        <v>86</v>
      </c>
      <c r="B14" s="17" t="s">
        <v>71</v>
      </c>
      <c r="C14" s="10">
        <f t="shared" ca="1" si="0"/>
        <v>11</v>
      </c>
      <c r="D14" s="10" t="str">
        <f t="shared" ca="1" si="1"/>
        <v>hen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2">
        <f t="shared" ca="1" si="2"/>
        <v>0</v>
      </c>
      <c r="AB14" s="2"/>
      <c r="AC14" s="2"/>
      <c r="AD14" s="2">
        <f t="shared" ca="1" si="3"/>
        <v>0</v>
      </c>
      <c r="AE14" s="2"/>
    </row>
    <row r="15" spans="1:31" ht="27" customHeight="1" x14ac:dyDescent="0.25">
      <c r="A15" s="24" t="s">
        <v>87</v>
      </c>
      <c r="B15" s="17" t="s">
        <v>71</v>
      </c>
      <c r="C15" s="10">
        <f t="shared" ca="1" si="0"/>
        <v>12</v>
      </c>
      <c r="D15" s="10" t="str">
        <f t="shared" ca="1" si="1"/>
        <v>den</v>
      </c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2">
        <f t="shared" ca="1" si="2"/>
        <v>0</v>
      </c>
      <c r="AB15" s="2"/>
      <c r="AC15" s="2"/>
      <c r="AD15" s="2">
        <f t="shared" ca="1" si="3"/>
        <v>0</v>
      </c>
      <c r="AE15" s="2"/>
    </row>
    <row r="16" spans="1:31" ht="27" customHeight="1" x14ac:dyDescent="0.25">
      <c r="A16" s="24" t="s">
        <v>88</v>
      </c>
      <c r="B16" s="18" t="s">
        <v>72</v>
      </c>
      <c r="C16" s="10">
        <f t="shared" ca="1" si="0"/>
        <v>13</v>
      </c>
      <c r="D16" s="10" t="str">
        <f t="shared" ca="1" si="1"/>
        <v>fen</v>
      </c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2">
        <f t="shared" ca="1" si="2"/>
        <v>0</v>
      </c>
      <c r="AB16" s="2"/>
      <c r="AC16" s="2"/>
      <c r="AD16" s="2">
        <f t="shared" ca="1" si="3"/>
        <v>0</v>
      </c>
      <c r="AE16" s="2"/>
    </row>
    <row r="17" spans="1:31" ht="27" customHeight="1" x14ac:dyDescent="0.25">
      <c r="A17" s="24" t="s">
        <v>89</v>
      </c>
      <c r="B17" s="18" t="s">
        <v>72</v>
      </c>
      <c r="C17" s="10">
        <f t="shared" ca="1" si="0"/>
        <v>14</v>
      </c>
      <c r="D17" s="10" t="str">
        <f t="shared" ca="1" si="1"/>
        <v xml:space="preserve">len </v>
      </c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2">
        <f t="shared" ca="1" si="2"/>
        <v>0</v>
      </c>
      <c r="AB17" s="2"/>
      <c r="AC17" s="2"/>
      <c r="AD17" s="2">
        <f t="shared" ca="1" si="3"/>
        <v>0</v>
      </c>
      <c r="AE17" s="2"/>
    </row>
    <row r="18" spans="1:31" ht="27" customHeight="1" x14ac:dyDescent="0.25">
      <c r="A18" s="24" t="s">
        <v>90</v>
      </c>
      <c r="B18" s="18" t="s">
        <v>72</v>
      </c>
      <c r="C18" s="10">
        <f t="shared" ca="1" si="0"/>
        <v>15</v>
      </c>
      <c r="D18" s="10" t="str">
        <f t="shared" ca="1" si="1"/>
        <v>qen</v>
      </c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2">
        <f t="shared" ca="1" si="2"/>
        <v>0</v>
      </c>
      <c r="AB18" s="2"/>
      <c r="AC18" s="2"/>
      <c r="AD18" s="2">
        <f t="shared" ca="1" si="3"/>
        <v>0</v>
      </c>
      <c r="AE18" s="2"/>
    </row>
    <row r="19" spans="1:31" ht="27" customHeight="1" x14ac:dyDescent="0.25">
      <c r="A19" s="24" t="s">
        <v>91</v>
      </c>
      <c r="B19" s="18" t="s">
        <v>72</v>
      </c>
      <c r="C19" s="10">
        <f t="shared" ca="1" si="0"/>
        <v>16</v>
      </c>
      <c r="D19" s="10" t="str">
        <f t="shared" ca="1" si="1"/>
        <v>pen</v>
      </c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2">
        <f t="shared" ca="1" si="2"/>
        <v>0</v>
      </c>
      <c r="AB19" s="2"/>
      <c r="AC19" s="2"/>
      <c r="AD19" s="2">
        <f t="shared" ca="1" si="3"/>
        <v>0</v>
      </c>
      <c r="AE19" s="2"/>
    </row>
    <row r="20" spans="1:31" ht="27" customHeight="1" x14ac:dyDescent="0.25">
      <c r="A20" s="25"/>
      <c r="B20" s="10"/>
      <c r="C20" s="10" t="str">
        <f t="shared" ca="1" si="0"/>
        <v/>
      </c>
      <c r="D20" s="10" t="str">
        <f t="shared" ca="1" si="1"/>
        <v/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2" t="str">
        <f t="shared" ca="1" si="2"/>
        <v/>
      </c>
      <c r="AB20" s="2"/>
      <c r="AC20" s="2"/>
      <c r="AD20" s="2" t="str">
        <f t="shared" ca="1" si="3"/>
        <v/>
      </c>
      <c r="AE20" s="2"/>
    </row>
    <row r="21" spans="1:31" ht="27" customHeight="1" x14ac:dyDescent="0.25">
      <c r="A21" s="24" t="s">
        <v>108</v>
      </c>
      <c r="B21" s="40" t="s">
        <v>198</v>
      </c>
      <c r="C21" s="10">
        <f t="shared" ca="1" si="0"/>
        <v>21</v>
      </c>
      <c r="D21" s="10" t="str">
        <f t="shared" ca="1" si="1"/>
        <v>aen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2">
        <f t="shared" ca="1" si="2"/>
        <v>0</v>
      </c>
      <c r="AB21" s="2"/>
      <c r="AC21" s="2"/>
      <c r="AD21" s="2">
        <f t="shared" ca="1" si="3"/>
        <v>0</v>
      </c>
      <c r="AE21" s="2"/>
    </row>
    <row r="22" spans="1:31" ht="27" customHeight="1" x14ac:dyDescent="0.25">
      <c r="A22" s="24" t="s">
        <v>92</v>
      </c>
      <c r="B22" s="40" t="s">
        <v>198</v>
      </c>
      <c r="C22" s="10">
        <f t="shared" ca="1" si="0"/>
        <v>22</v>
      </c>
      <c r="D22" s="10" t="str">
        <f t="shared" ca="1" si="1"/>
        <v>jen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2">
        <f t="shared" ca="1" si="2"/>
        <v>0</v>
      </c>
      <c r="AB22" s="2"/>
      <c r="AC22" s="2"/>
      <c r="AD22" s="2">
        <f t="shared" ca="1" si="3"/>
        <v>0</v>
      </c>
      <c r="AE22" s="2"/>
    </row>
    <row r="23" spans="1:31" ht="27" customHeight="1" x14ac:dyDescent="0.25">
      <c r="A23" s="24" t="s">
        <v>75</v>
      </c>
      <c r="B23" s="40" t="s">
        <v>198</v>
      </c>
      <c r="C23" s="10">
        <f t="shared" ca="1" si="0"/>
        <v>23</v>
      </c>
      <c r="D23" s="10" t="str">
        <f t="shared" ca="1" si="1"/>
        <v>ien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2">
        <f t="shared" ca="1" si="2"/>
        <v>0</v>
      </c>
      <c r="AB23" s="2"/>
      <c r="AC23" s="2"/>
      <c r="AD23" s="2">
        <f t="shared" ca="1" si="3"/>
        <v>0</v>
      </c>
      <c r="AE23" s="2"/>
    </row>
    <row r="24" spans="1:31" ht="27" customHeight="1" x14ac:dyDescent="0.25">
      <c r="A24" s="24" t="s">
        <v>93</v>
      </c>
      <c r="B24" s="40" t="s">
        <v>198</v>
      </c>
      <c r="C24" s="10">
        <f t="shared" ca="1" si="0"/>
        <v>24</v>
      </c>
      <c r="D24" s="10" t="str">
        <f t="shared" ca="1" si="1"/>
        <v>men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2">
        <f t="shared" ca="1" si="2"/>
        <v>0</v>
      </c>
      <c r="AB24" s="2"/>
      <c r="AC24" s="2"/>
      <c r="AD24" s="2">
        <f t="shared" ca="1" si="3"/>
        <v>0</v>
      </c>
      <c r="AE24" s="2"/>
    </row>
    <row r="25" spans="1:31" ht="27" customHeight="1" x14ac:dyDescent="0.25">
      <c r="A25" s="24" t="s">
        <v>94</v>
      </c>
      <c r="B25" s="16" t="s">
        <v>201</v>
      </c>
      <c r="C25" s="10">
        <f t="shared" ca="1" si="0"/>
        <v>25</v>
      </c>
      <c r="D25" s="10" t="str">
        <f t="shared" ca="1" si="1"/>
        <v>nen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2">
        <f t="shared" ca="1" si="2"/>
        <v>0</v>
      </c>
      <c r="AB25" s="2"/>
      <c r="AC25" s="2"/>
      <c r="AD25" s="2">
        <f t="shared" ca="1" si="3"/>
        <v>0</v>
      </c>
      <c r="AE25" s="2"/>
    </row>
    <row r="26" spans="1:31" ht="27" customHeight="1" x14ac:dyDescent="0.25">
      <c r="A26" s="24" t="s">
        <v>95</v>
      </c>
      <c r="B26" s="16" t="s">
        <v>201</v>
      </c>
      <c r="C26" s="10">
        <f t="shared" ca="1" si="0"/>
        <v>26</v>
      </c>
      <c r="D26" s="10" t="str">
        <f t="shared" ca="1" si="1"/>
        <v>pen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2">
        <f t="shared" ca="1" si="2"/>
        <v>0</v>
      </c>
      <c r="AB26" s="2"/>
      <c r="AC26" s="2"/>
      <c r="AD26" s="2">
        <f t="shared" ca="1" si="3"/>
        <v>0</v>
      </c>
      <c r="AE26" s="2"/>
    </row>
    <row r="27" spans="1:31" ht="27" customHeight="1" x14ac:dyDescent="0.25">
      <c r="A27" s="24" t="s">
        <v>96</v>
      </c>
      <c r="B27" s="16" t="s">
        <v>201</v>
      </c>
      <c r="C27" s="10">
        <f t="shared" ca="1" si="0"/>
        <v>27</v>
      </c>
      <c r="D27" s="10" t="str">
        <f t="shared" ca="1" si="1"/>
        <v>qen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2">
        <f t="shared" ca="1" si="2"/>
        <v>0</v>
      </c>
      <c r="AB27" s="2"/>
      <c r="AC27" s="2"/>
      <c r="AD27" s="2">
        <f t="shared" ca="1" si="3"/>
        <v>0</v>
      </c>
      <c r="AE27" s="2"/>
    </row>
    <row r="28" spans="1:31" ht="27" customHeight="1" x14ac:dyDescent="0.25">
      <c r="A28" s="24" t="s">
        <v>97</v>
      </c>
      <c r="B28" s="16" t="s">
        <v>201</v>
      </c>
      <c r="C28" s="10">
        <f t="shared" ca="1" si="0"/>
        <v>28</v>
      </c>
      <c r="D28" s="10" t="str">
        <f t="shared" ca="1" si="1"/>
        <v>ren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2">
        <f t="shared" ca="1" si="2"/>
        <v>0</v>
      </c>
      <c r="AB28" s="2"/>
      <c r="AC28" s="2"/>
      <c r="AD28" s="2">
        <f t="shared" ca="1" si="3"/>
        <v>0</v>
      </c>
      <c r="AE28" s="2"/>
    </row>
    <row r="29" spans="1:31" ht="27" customHeight="1" x14ac:dyDescent="0.25">
      <c r="A29" s="24" t="s">
        <v>109</v>
      </c>
      <c r="B29" s="41" t="s">
        <v>199</v>
      </c>
      <c r="C29" s="10">
        <f t="shared" ca="1" si="0"/>
        <v>29</v>
      </c>
      <c r="D29" s="10" t="str">
        <f t="shared" ca="1" si="1"/>
        <v>sen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2">
        <f t="shared" ca="1" si="2"/>
        <v>0</v>
      </c>
      <c r="AB29" s="2"/>
      <c r="AC29" s="2"/>
      <c r="AD29" s="2">
        <f t="shared" ca="1" si="3"/>
        <v>0</v>
      </c>
      <c r="AE29" s="2"/>
    </row>
    <row r="30" spans="1:31" ht="27" customHeight="1" x14ac:dyDescent="0.25">
      <c r="A30" s="24" t="s">
        <v>99</v>
      </c>
      <c r="B30" s="41" t="s">
        <v>199</v>
      </c>
      <c r="C30" s="10">
        <f t="shared" ca="1" si="0"/>
        <v>30</v>
      </c>
      <c r="D30" s="10" t="str">
        <f t="shared" ca="1" si="1"/>
        <v>uen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2">
        <f t="shared" ca="1" si="2"/>
        <v>0</v>
      </c>
      <c r="AB30" s="2"/>
      <c r="AC30" s="2"/>
      <c r="AD30" s="2">
        <f t="shared" ca="1" si="3"/>
        <v>0</v>
      </c>
      <c r="AE30" s="2"/>
    </row>
    <row r="31" spans="1:31" ht="27" customHeight="1" x14ac:dyDescent="0.25">
      <c r="A31" s="24" t="s">
        <v>100</v>
      </c>
      <c r="B31" s="41" t="s">
        <v>199</v>
      </c>
      <c r="C31" s="10">
        <f t="shared" ca="1" si="0"/>
        <v>31</v>
      </c>
      <c r="D31" s="10" t="str">
        <f t="shared" ca="1" si="1"/>
        <v>ven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2">
        <f t="shared" ca="1" si="2"/>
        <v>0</v>
      </c>
      <c r="AB31" s="2"/>
      <c r="AC31" s="2"/>
      <c r="AD31" s="2">
        <f t="shared" ca="1" si="3"/>
        <v>0</v>
      </c>
      <c r="AE31" s="2"/>
    </row>
    <row r="32" spans="1:31" ht="27" customHeight="1" x14ac:dyDescent="0.25">
      <c r="A32" s="24" t="s">
        <v>76</v>
      </c>
      <c r="B32" s="41" t="s">
        <v>199</v>
      </c>
      <c r="C32" s="10">
        <f t="shared" ca="1" si="0"/>
        <v>32</v>
      </c>
      <c r="D32" s="10" t="str">
        <f t="shared" ca="1" si="1"/>
        <v>xen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2">
        <f t="shared" ca="1" si="2"/>
        <v>0</v>
      </c>
      <c r="AB32" s="2"/>
      <c r="AC32" s="2"/>
      <c r="AD32" s="2">
        <f t="shared" ca="1" si="3"/>
        <v>0</v>
      </c>
      <c r="AE32" s="2"/>
    </row>
    <row r="33" spans="1:31" ht="27" customHeight="1" x14ac:dyDescent="0.25">
      <c r="A33" s="24" t="s">
        <v>101</v>
      </c>
      <c r="B33" s="18" t="s">
        <v>200</v>
      </c>
      <c r="C33" s="10">
        <f t="shared" ca="1" si="0"/>
        <v>33</v>
      </c>
      <c r="D33" s="10" t="str">
        <f t="shared" ca="1" si="1"/>
        <v>yen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2">
        <f t="shared" ca="1" si="2"/>
        <v>0</v>
      </c>
      <c r="AB33" s="2"/>
      <c r="AC33" s="2"/>
      <c r="AD33" s="2">
        <f t="shared" ca="1" si="3"/>
        <v>0</v>
      </c>
      <c r="AE33" s="2"/>
    </row>
    <row r="34" spans="1:31" ht="27" customHeight="1" x14ac:dyDescent="0.25">
      <c r="A34" s="24" t="s">
        <v>102</v>
      </c>
      <c r="B34" s="18" t="s">
        <v>200</v>
      </c>
      <c r="C34" s="10">
        <f t="shared" ca="1" si="0"/>
        <v>34</v>
      </c>
      <c r="D34" s="10" t="str">
        <f t="shared" ca="1" si="1"/>
        <v>zen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2">
        <f t="shared" ca="1" si="2"/>
        <v>0</v>
      </c>
      <c r="AB34" s="2"/>
      <c r="AC34" s="2"/>
      <c r="AD34" s="2">
        <f t="shared" ca="1" si="3"/>
        <v>0</v>
      </c>
      <c r="AE34" s="2"/>
    </row>
    <row r="35" spans="1:31" ht="27" customHeight="1" x14ac:dyDescent="0.25">
      <c r="A35" s="24" t="s">
        <v>103</v>
      </c>
      <c r="B35" s="18" t="s">
        <v>200</v>
      </c>
      <c r="C35" s="10">
        <f t="shared" ca="1" si="0"/>
        <v>35</v>
      </c>
      <c r="D35" s="10" t="str">
        <f t="shared" ca="1" si="1"/>
        <v>cen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2">
        <f t="shared" ca="1" si="2"/>
        <v>0</v>
      </c>
      <c r="AB35" s="2"/>
      <c r="AC35" s="2"/>
      <c r="AD35" s="2">
        <f t="shared" ca="1" si="3"/>
        <v>0</v>
      </c>
      <c r="AE35" s="2"/>
    </row>
    <row r="36" spans="1:31" ht="27" customHeight="1" x14ac:dyDescent="0.25">
      <c r="A36" s="39" t="s">
        <v>104</v>
      </c>
      <c r="B36" s="18" t="s">
        <v>200</v>
      </c>
      <c r="C36" s="10">
        <f t="shared" ca="1" si="0"/>
        <v>36</v>
      </c>
      <c r="D36" s="10" t="str">
        <f t="shared" ca="1" si="1"/>
        <v>den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2">
        <f t="shared" ca="1" si="2"/>
        <v>0</v>
      </c>
      <c r="AB36" s="2"/>
      <c r="AC36" s="2"/>
      <c r="AD36" s="2">
        <f t="shared" ca="1" si="3"/>
        <v>0</v>
      </c>
      <c r="AE36" s="2"/>
    </row>
    <row r="37" spans="1:31" ht="27" customHeight="1" x14ac:dyDescent="0.25">
      <c r="A37" s="2"/>
      <c r="B37" s="2"/>
      <c r="C37" s="10" t="str">
        <f t="shared" ca="1" si="0"/>
        <v/>
      </c>
      <c r="D37" s="10" t="str">
        <f t="shared" ca="1" si="1"/>
        <v/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 t="str">
        <f t="shared" ca="1" si="2"/>
        <v/>
      </c>
      <c r="AB37" s="2"/>
      <c r="AC37" s="2"/>
      <c r="AD37" s="2" t="str">
        <f t="shared" ca="1" si="3"/>
        <v/>
      </c>
      <c r="AE37" s="2"/>
    </row>
    <row r="38" spans="1:31" ht="27" customHeight="1" x14ac:dyDescent="0.25">
      <c r="A38" s="2"/>
      <c r="B38" s="2"/>
      <c r="C38" s="10" t="str">
        <f t="shared" ca="1" si="0"/>
        <v/>
      </c>
      <c r="D38" s="10" t="str">
        <f t="shared" ca="1" si="1"/>
        <v/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 t="str">
        <f t="shared" ca="1" si="2"/>
        <v/>
      </c>
      <c r="AB38" s="2"/>
      <c r="AC38" s="2"/>
      <c r="AD38" s="2" t="str">
        <f t="shared" ca="1" si="3"/>
        <v/>
      </c>
      <c r="AE38" s="2"/>
    </row>
    <row r="39" spans="1:31" ht="27" customHeight="1" x14ac:dyDescent="0.25">
      <c r="A39" s="2"/>
      <c r="B39" s="2"/>
      <c r="C39" s="10" t="str">
        <f t="shared" ca="1" si="0"/>
        <v/>
      </c>
      <c r="D39" s="10" t="str">
        <f t="shared" ca="1" si="1"/>
        <v/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 t="str">
        <f t="shared" ca="1" si="2"/>
        <v/>
      </c>
      <c r="AB39" s="2"/>
      <c r="AC39" s="2"/>
      <c r="AD39" s="2" t="str">
        <f t="shared" ca="1" si="3"/>
        <v/>
      </c>
      <c r="AE39" s="2"/>
    </row>
  </sheetData>
  <mergeCells count="4">
    <mergeCell ref="E1:Z1"/>
    <mergeCell ref="B2:D2"/>
    <mergeCell ref="A1:D1"/>
    <mergeCell ref="A2:A3"/>
  </mergeCells>
  <phoneticPr fontId="18" type="noConversion"/>
  <dataValidations count="1">
    <dataValidation allowBlank="1" showInputMessage="1" showErrorMessage="1" prompt="月/日" sqref="E3:Z3"/>
  </dataValidations>
  <pageMargins left="0.23622047244094491" right="0.23622047244094491" top="0.74803149606299213" bottom="0.74803149606299213" header="0.31496062992125984" footer="0.31496062992125984"/>
  <pageSetup paperSize="9" scale="7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27</xdr:col>
                <xdr:colOff>533400</xdr:colOff>
                <xdr:row>0</xdr:row>
                <xdr:rowOff>9525</xdr:rowOff>
              </from>
              <to>
                <xdr:col>28</xdr:col>
                <xdr:colOff>647700</xdr:colOff>
                <xdr:row>1</xdr:row>
                <xdr:rowOff>0</xdr:rowOff>
              </to>
            </anchor>
          </controlPr>
        </control>
      </mc:Choice>
      <mc:Fallback>
        <control shapeId="114689" r:id="rId4" name="CommandButton1"/>
      </mc:Fallback>
    </mc:AlternateContent>
    <mc:AlternateContent xmlns:mc="http://schemas.openxmlformats.org/markup-compatibility/2006">
      <mc:Choice Requires="x14">
        <control shapeId="114690" r:id="rId6" name="CommandButton2">
          <controlPr defaultSize="0" autoLine="0" r:id="rId7">
            <anchor moveWithCells="1">
              <from>
                <xdr:col>26</xdr:col>
                <xdr:colOff>9525</xdr:colOff>
                <xdr:row>0</xdr:row>
                <xdr:rowOff>0</xdr:rowOff>
              </from>
              <to>
                <xdr:col>27</xdr:col>
                <xdr:colOff>533400</xdr:colOff>
                <xdr:row>1</xdr:row>
                <xdr:rowOff>9525</xdr:rowOff>
              </to>
            </anchor>
          </controlPr>
        </control>
      </mc:Choice>
      <mc:Fallback>
        <control shapeId="1146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tabColor theme="3" tint="0.59999389629810485"/>
  </sheetPr>
  <dimension ref="A1:D25"/>
  <sheetViews>
    <sheetView zoomScale="115" zoomScaleNormal="115" workbookViewId="0">
      <pane ySplit="1" topLeftCell="A14" activePane="bottomLeft" state="frozen"/>
      <selection activeCell="B3" sqref="B3"/>
      <selection pane="bottomLeft" activeCell="G22" sqref="G22"/>
    </sheetView>
  </sheetViews>
  <sheetFormatPr defaultRowHeight="16.5" x14ac:dyDescent="0.25"/>
  <cols>
    <col min="1" max="4" width="21.625" customWidth="1"/>
  </cols>
  <sheetData>
    <row r="1" spans="1:4" ht="24.75" customHeight="1" x14ac:dyDescent="0.25"/>
    <row r="2" spans="1:4" ht="24.95" customHeight="1" x14ac:dyDescent="0.25">
      <c r="A2" s="33" t="s">
        <v>113</v>
      </c>
      <c r="B2" s="33" t="s">
        <v>122</v>
      </c>
      <c r="C2" s="33" t="s">
        <v>131</v>
      </c>
      <c r="D2" s="33" t="s">
        <v>140</v>
      </c>
    </row>
    <row r="3" spans="1:4" ht="40.5" customHeight="1" x14ac:dyDescent="0.25">
      <c r="A3" s="4" t="str">
        <f ca="1">IF(ISERROR(MATCH(A2,INDIRECT(CONCATENATE($A$23&amp;"上課表現","!")&amp;"A1:A50"),0)),"",INDIRECT(CONCATENATE("'",$A$23&amp;"上課表現","'!C"&amp;MATCH(A2,INDIRECT(CONCATENATE($A$23&amp;"上課表現","!")&amp;"A1:A50"),0)))&amp;INDIRECT(CONCATENATE("'",$A$23&amp;"上課表現","'!D"&amp;MATCH(A2,INDIRECT(CONCATENATE($A$23&amp;"上課表現","!")&amp;"A1:A50"),0))))</f>
        <v/>
      </c>
      <c r="B3" s="4" t="str">
        <f ca="1">IF(ISERROR(MATCH(B2,INDIRECT(CONCATENATE($A$23&amp;"上課表現","!")&amp;"A1:A50"),0)),"",INDIRECT(CONCATENATE("'",$A$23&amp;"上課表現","'!C"&amp;MATCH(B2,INDIRECT(CONCATENATE($A$23&amp;"上課表現","!")&amp;"A1:A50"),0)))&amp;INDIRECT(CONCATENATE("'",$A$23&amp;"上課表現","'!D"&amp;MATCH(B2,INDIRECT(CONCATENATE($A$23&amp;"上課表現","!")&amp;"A1:A50"),0))))</f>
        <v/>
      </c>
      <c r="C3" s="4" t="str">
        <f ca="1">IF(ISERROR(MATCH(C2,INDIRECT(CONCATENATE($A$23&amp;"上課表現","!")&amp;"A1:A50"),0)),"",INDIRECT(CONCATENATE("'",$A$23&amp;"上課表現","'!C"&amp;MATCH(C2,INDIRECT(CONCATENATE($A$23&amp;"上課表現","!")&amp;"A1:A50"),0)))&amp;INDIRECT(CONCATENATE("'",$A$23&amp;"上課表現","'!D"&amp;MATCH(C2,INDIRECT(CONCATENATE($A$23&amp;"上課表現","!")&amp;"A1:A50"),0))))</f>
        <v/>
      </c>
      <c r="D3" s="4" t="str">
        <f ca="1">IF(ISERROR(MATCH(D2,INDIRECT(CONCATENATE($A$23&amp;"上課表現","!")&amp;"A1:A50"),0)),"",INDIRECT(CONCATENATE("'",$A$23&amp;"上課表現","'!C"&amp;MATCH(D2,INDIRECT(CONCATENATE($A$23&amp;"上課表現","!")&amp;"A1:A50"),0)))&amp;INDIRECT(CONCATENATE("'",$A$23&amp;"上課表現","'!D"&amp;MATCH(D2,INDIRECT(CONCATENATE($A$23&amp;"上課表現","!")&amp;"A1:A50"),0))))</f>
        <v/>
      </c>
    </row>
    <row r="4" spans="1:4" ht="24.95" customHeight="1" x14ac:dyDescent="0.25">
      <c r="A4" s="33" t="s">
        <v>114</v>
      </c>
      <c r="B4" s="33" t="s">
        <v>123</v>
      </c>
      <c r="C4" s="33" t="s">
        <v>132</v>
      </c>
      <c r="D4" s="33" t="s">
        <v>141</v>
      </c>
    </row>
    <row r="5" spans="1:4" ht="40.5" customHeight="1" x14ac:dyDescent="0.25">
      <c r="A5" s="4" t="str">
        <f ca="1">IF(ISERROR(MATCH(A4,INDIRECT(CONCATENATE($A$23&amp;"上課表現","!")&amp;"A1:A50"),0)),"",INDIRECT(CONCATENATE("'",$A$23&amp;"上課表現","'!C"&amp;MATCH(A4,INDIRECT(CONCATENATE($A$23&amp;"上課表現","!")&amp;"A1:A50"),0)))&amp;INDIRECT(CONCATENATE("'",$A$23&amp;"上課表現","'!D"&amp;MATCH(A4,INDIRECT(CONCATENATE($A$23&amp;"上課表現","!")&amp;"A1:A50"),0))))</f>
        <v>8yen</v>
      </c>
      <c r="B5" s="4" t="str">
        <f ca="1">IF(ISERROR(MATCH(B4,INDIRECT(CONCATENATE($A$23&amp;"上課表現","!")&amp;"A1:A50"),0)),"",INDIRECT(CONCATENATE("'",$A$23&amp;"上課表現","'!C"&amp;MATCH(B4,INDIRECT(CONCATENATE($A$23&amp;"上課表現","!")&amp;"A1:A50"),0)))&amp;INDIRECT(CONCATENATE("'",$A$23&amp;"上課表現","'!D"&amp;MATCH(B4,INDIRECT(CONCATENATE($A$23&amp;"上課表現","!")&amp;"A1:A50"),0))))</f>
        <v>16pen</v>
      </c>
      <c r="C5" s="4" t="str">
        <f ca="1">IF(ISERROR(MATCH(C4,INDIRECT(CONCATENATE($A$23&amp;"上課表現","!")&amp;"A1:A50"),0)),"",INDIRECT(CONCATENATE("'",$A$23&amp;"上課表現","'!C"&amp;MATCH(C4,INDIRECT(CONCATENATE($A$23&amp;"上課表現","!")&amp;"A1:A50"),0)))&amp;INDIRECT(CONCATENATE("'",$A$23&amp;"上課表現","'!D"&amp;MATCH(C4,INDIRECT(CONCATENATE($A$23&amp;"上課表現","!")&amp;"A1:A50"),0))))</f>
        <v>28ren</v>
      </c>
      <c r="D5" s="4" t="str">
        <f ca="1">IF(ISERROR(MATCH(D4,INDIRECT(CONCATENATE($A$23&amp;"上課表現","!")&amp;"A1:A50"),0)),"",INDIRECT(CONCATENATE("'",$A$23&amp;"上課表現","'!C"&amp;MATCH(D4,INDIRECT(CONCATENATE($A$23&amp;"上課表現","!")&amp;"A1:A50"),0)))&amp;INDIRECT(CONCATENATE("'",$A$23&amp;"上課表現","'!D"&amp;MATCH(D4,INDIRECT(CONCATENATE($A$23&amp;"上課表現","!")&amp;"A1:A50"),0))))</f>
        <v>36den</v>
      </c>
    </row>
    <row r="6" spans="1:4" ht="24.95" customHeight="1" x14ac:dyDescent="0.25">
      <c r="A6" s="33" t="s">
        <v>115</v>
      </c>
      <c r="B6" s="33" t="s">
        <v>124</v>
      </c>
      <c r="C6" s="33" t="s">
        <v>133</v>
      </c>
      <c r="D6" s="33" t="s">
        <v>142</v>
      </c>
    </row>
    <row r="7" spans="1:4" ht="40.5" customHeight="1" x14ac:dyDescent="0.25">
      <c r="A7" s="4" t="str">
        <f ca="1">IF(ISERROR(MATCH(A6,INDIRECT(CONCATENATE($A$23&amp;"上課表現","!")&amp;"A1:A50"),0)),"",INDIRECT(CONCATENATE("'",$A$23&amp;"上課表現","'!C"&amp;MATCH(A6,INDIRECT(CONCATENATE($A$23&amp;"上課表現","!")&amp;"A1:A50"),0)))&amp;INDIRECT(CONCATENATE("'",$A$23&amp;"上課表現","'!D"&amp;MATCH(A6,INDIRECT(CONCATENATE($A$23&amp;"上課表現","!")&amp;"A1:A50"),0))))</f>
        <v>7len</v>
      </c>
      <c r="B7" s="4" t="str">
        <f ca="1">IF(ISERROR(MATCH(B6,INDIRECT(CONCATENATE($A$23&amp;"上課表現","!")&amp;"A1:A50"),0)),"",INDIRECT(CONCATENATE("'",$A$23&amp;"上課表現","'!C"&amp;MATCH(B6,INDIRECT(CONCATENATE($A$23&amp;"上課表現","!")&amp;"A1:A50"),0)))&amp;INDIRECT(CONCATENATE("'",$A$23&amp;"上課表現","'!D"&amp;MATCH(B6,INDIRECT(CONCATENATE($A$23&amp;"上課表現","!")&amp;"A1:A50"),0))))</f>
        <v>15qen</v>
      </c>
      <c r="C7" s="4" t="str">
        <f ca="1">IF(ISERROR(MATCH(C6,INDIRECT(CONCATENATE($A$23&amp;"上課表現","!")&amp;"A1:A50"),0)),"",INDIRECT(CONCATENATE("'",$A$23&amp;"上課表現","'!C"&amp;MATCH(C6,INDIRECT(CONCATENATE($A$23&amp;"上課表現","!")&amp;"A1:A50"),0)))&amp;INDIRECT(CONCATENATE("'",$A$23&amp;"上課表現","'!D"&amp;MATCH(C6,INDIRECT(CONCATENATE($A$23&amp;"上課表現","!")&amp;"A1:A50"),0))))</f>
        <v>27qen</v>
      </c>
      <c r="D7" s="4" t="str">
        <f ca="1">IF(ISERROR(MATCH(D6,INDIRECT(CONCATENATE($A$23&amp;"上課表現","!")&amp;"A1:A50"),0)),"",INDIRECT(CONCATENATE("'",$A$23&amp;"上課表現","'!C"&amp;MATCH(D6,INDIRECT(CONCATENATE($A$23&amp;"上課表現","!")&amp;"A1:A50"),0)))&amp;INDIRECT(CONCATENATE("'",$A$23&amp;"上課表現","'!D"&amp;MATCH(D6,INDIRECT(CONCATENATE($A$23&amp;"上課表現","!")&amp;"A1:A50"),0))))</f>
        <v>35cen</v>
      </c>
    </row>
    <row r="8" spans="1:4" ht="24.95" customHeight="1" x14ac:dyDescent="0.25">
      <c r="A8" s="33" t="s">
        <v>116</v>
      </c>
      <c r="B8" s="33" t="s">
        <v>125</v>
      </c>
      <c r="C8" s="33" t="s">
        <v>134</v>
      </c>
      <c r="D8" s="33" t="s">
        <v>143</v>
      </c>
    </row>
    <row r="9" spans="1:4" ht="40.5" customHeight="1" x14ac:dyDescent="0.25">
      <c r="A9" s="4" t="str">
        <f ca="1">IF(ISERROR(MATCH(A8,INDIRECT(CONCATENATE($A$23&amp;"上課表現","!")&amp;"A1:A50"),0)),"",INDIRECT(CONCATENATE("'",$A$23&amp;"上課表現","'!C"&amp;MATCH(A8,INDIRECT(CONCATENATE($A$23&amp;"上課表現","!")&amp;"A1:A50"),0)))&amp;INDIRECT(CONCATENATE("'",$A$23&amp;"上課表現","'!D"&amp;MATCH(A8,INDIRECT(CONCATENATE($A$23&amp;"上課表現","!")&amp;"A1:A50"),0))))</f>
        <v>6xen</v>
      </c>
      <c r="B9" s="4" t="str">
        <f ca="1">IF(ISERROR(MATCH(B8,INDIRECT(CONCATENATE($A$23&amp;"上課表現","!")&amp;"A1:A50"),0)),"",INDIRECT(CONCATENATE("'",$A$23&amp;"上課表現","'!C"&amp;MATCH(B8,INDIRECT(CONCATENATE($A$23&amp;"上課表現","!")&amp;"A1:A50"),0)))&amp;INDIRECT(CONCATENATE("'",$A$23&amp;"上課表現","'!D"&amp;MATCH(B8,INDIRECT(CONCATENATE($A$23&amp;"上課表現","!")&amp;"A1:A50"),0))))</f>
        <v xml:space="preserve">14len </v>
      </c>
      <c r="C9" s="4" t="str">
        <f ca="1">IF(ISERROR(MATCH(C8,INDIRECT(CONCATENATE($A$23&amp;"上課表現","!")&amp;"A1:A50"),0)),"",INDIRECT(CONCATENATE("'",$A$23&amp;"上課表現","'!C"&amp;MATCH(C8,INDIRECT(CONCATENATE($A$23&amp;"上課表現","!")&amp;"A1:A50"),0)))&amp;INDIRECT(CONCATENATE("'",$A$23&amp;"上課表現","'!D"&amp;MATCH(C8,INDIRECT(CONCATENATE($A$23&amp;"上課表現","!")&amp;"A1:A50"),0))))</f>
        <v>26pen</v>
      </c>
      <c r="D9" s="4" t="str">
        <f ca="1">IF(ISERROR(MATCH(D8,INDIRECT(CONCATENATE($A$23&amp;"上課表現","!")&amp;"A1:A50"),0)),"",INDIRECT(CONCATENATE("'",$A$23&amp;"上課表現","'!C"&amp;MATCH(D8,INDIRECT(CONCATENATE($A$23&amp;"上課表現","!")&amp;"A1:A50"),0)))&amp;INDIRECT(CONCATENATE("'",$A$23&amp;"上課表現","'!D"&amp;MATCH(D8,INDIRECT(CONCATENATE($A$23&amp;"上課表現","!")&amp;"A1:A50"),0))))</f>
        <v>34zen</v>
      </c>
    </row>
    <row r="10" spans="1:4" ht="24.95" customHeight="1" x14ac:dyDescent="0.25">
      <c r="A10" s="33" t="s">
        <v>117</v>
      </c>
      <c r="B10" s="33" t="s">
        <v>126</v>
      </c>
      <c r="C10" s="33" t="s">
        <v>135</v>
      </c>
      <c r="D10" s="33" t="s">
        <v>144</v>
      </c>
    </row>
    <row r="11" spans="1:4" ht="40.5" customHeight="1" x14ac:dyDescent="0.25">
      <c r="A11" s="4" t="str">
        <f ca="1">IF(ISERROR(MATCH(A10,INDIRECT(CONCATENATE($A$23&amp;"上課表現","!")&amp;"A1:A50"),0)),"",INDIRECT(CONCATENATE("'",$A$23&amp;"上課表現","'!C"&amp;MATCH(A10,INDIRECT(CONCATENATE($A$23&amp;"上課表現","!")&amp;"A1:A50"),0)))&amp;INDIRECT(CONCATENATE("'",$A$23&amp;"上課表現","'!D"&amp;MATCH(A10,INDIRECT(CONCATENATE($A$23&amp;"上課表現","!")&amp;"A1:A50"),0))))</f>
        <v>5jen</v>
      </c>
      <c r="B11" s="4" t="str">
        <f ca="1">IF(ISERROR(MATCH(B10,INDIRECT(CONCATENATE($A$23&amp;"上課表現","!")&amp;"A1:A50"),0)),"",INDIRECT(CONCATENATE("'",$A$23&amp;"上課表現","'!C"&amp;MATCH(B10,INDIRECT(CONCATENATE($A$23&amp;"上課表現","!")&amp;"A1:A50"),0)))&amp;INDIRECT(CONCATENATE("'",$A$23&amp;"上課表現","'!D"&amp;MATCH(B10,INDIRECT(CONCATENATE($A$23&amp;"上課表現","!")&amp;"A1:A50"),0))))</f>
        <v>13fen</v>
      </c>
      <c r="C11" s="4" t="str">
        <f ca="1">IF(ISERROR(MATCH(C10,INDIRECT(CONCATENATE($A$23&amp;"上課表現","!")&amp;"A1:A50"),0)),"",INDIRECT(CONCATENATE("'",$A$23&amp;"上課表現","'!C"&amp;MATCH(C10,INDIRECT(CONCATENATE($A$23&amp;"上課表現","!")&amp;"A1:A50"),0)))&amp;INDIRECT(CONCATENATE("'",$A$23&amp;"上課表現","'!D"&amp;MATCH(C10,INDIRECT(CONCATENATE($A$23&amp;"上課表現","!")&amp;"A1:A50"),0))))</f>
        <v>25nen</v>
      </c>
      <c r="D11" s="4" t="str">
        <f ca="1">IF(ISERROR(MATCH(D10,INDIRECT(CONCATENATE($A$23&amp;"上課表現","!")&amp;"A1:A50"),0)),"",INDIRECT(CONCATENATE("'",$A$23&amp;"上課表現","'!C"&amp;MATCH(D10,INDIRECT(CONCATENATE($A$23&amp;"上課表現","!")&amp;"A1:A50"),0)))&amp;INDIRECT(CONCATENATE("'",$A$23&amp;"上課表現","'!D"&amp;MATCH(D10,INDIRECT(CONCATENATE($A$23&amp;"上課表現","!")&amp;"A1:A50"),0))))</f>
        <v>33yen</v>
      </c>
    </row>
    <row r="12" spans="1:4" ht="24.95" customHeight="1" x14ac:dyDescent="0.25">
      <c r="A12" s="33" t="s">
        <v>118</v>
      </c>
      <c r="B12" s="33" t="s">
        <v>127</v>
      </c>
      <c r="C12" s="33" t="s">
        <v>136</v>
      </c>
      <c r="D12" s="33" t="s">
        <v>145</v>
      </c>
    </row>
    <row r="13" spans="1:4" ht="40.5" customHeight="1" x14ac:dyDescent="0.25">
      <c r="A13" s="4" t="str">
        <f ca="1">IF(ISERROR(MATCH(A12,INDIRECT(CONCATENATE($A$23&amp;"上課表現","!")&amp;"A1:A50"),0)),"",INDIRECT(CONCATENATE("'",$A$23&amp;"上課表現","'!C"&amp;MATCH(A12,INDIRECT(CONCATENATE($A$23&amp;"上課表現","!")&amp;"A1:A50"),0)))&amp;INDIRECT(CONCATENATE("'",$A$23&amp;"上課表現","'!D"&amp;MATCH(A12,INDIRECT(CONCATENATE($A$23&amp;"上課表現","!")&amp;"A1:A50"),0))))</f>
        <v>4tt</v>
      </c>
      <c r="B13" s="4" t="str">
        <f ca="1">IF(ISERROR(MATCH(B12,INDIRECT(CONCATENATE($A$23&amp;"上課表現","!")&amp;"A1:A50"),0)),"",INDIRECT(CONCATENATE("'",$A$23&amp;"上課表現","'!C"&amp;MATCH(B12,INDIRECT(CONCATENATE($A$23&amp;"上課表現","!")&amp;"A1:A50"),0)))&amp;INDIRECT(CONCATENATE("'",$A$23&amp;"上課表現","'!D"&amp;MATCH(B12,INDIRECT(CONCATENATE($A$23&amp;"上課表現","!")&amp;"A1:A50"),0))))</f>
        <v>12den</v>
      </c>
      <c r="C13" s="4" t="str">
        <f ca="1">IF(ISERROR(MATCH(C12,INDIRECT(CONCATENATE($A$23&amp;"上課表現","!")&amp;"A1:A50"),0)),"",INDIRECT(CONCATENATE("'",$A$23&amp;"上課表現","'!C"&amp;MATCH(C12,INDIRECT(CONCATENATE($A$23&amp;"上課表現","!")&amp;"A1:A50"),0)))&amp;INDIRECT(CONCATENATE("'",$A$23&amp;"上課表現","'!D"&amp;MATCH(C12,INDIRECT(CONCATENATE($A$23&amp;"上課表現","!")&amp;"A1:A50"),0))))</f>
        <v>24men</v>
      </c>
      <c r="D13" s="4" t="str">
        <f ca="1">IF(ISERROR(MATCH(D12,INDIRECT(CONCATENATE($A$23&amp;"上課表現","!")&amp;"A1:A50"),0)),"",INDIRECT(CONCATENATE("'",$A$23&amp;"上課表現","'!C"&amp;MATCH(D12,INDIRECT(CONCATENATE($A$23&amp;"上課表現","!")&amp;"A1:A50"),0)))&amp;INDIRECT(CONCATENATE("'",$A$23&amp;"上課表現","'!D"&amp;MATCH(D12,INDIRECT(CONCATENATE($A$23&amp;"上課表現","!")&amp;"A1:A50"),0))))</f>
        <v>32xen</v>
      </c>
    </row>
    <row r="14" spans="1:4" ht="24.95" customHeight="1" x14ac:dyDescent="0.25">
      <c r="A14" s="33" t="s">
        <v>119</v>
      </c>
      <c r="B14" s="33" t="s">
        <v>128</v>
      </c>
      <c r="C14" s="33" t="s">
        <v>137</v>
      </c>
      <c r="D14" s="33" t="s">
        <v>146</v>
      </c>
    </row>
    <row r="15" spans="1:4" ht="40.5" customHeight="1" x14ac:dyDescent="0.25">
      <c r="A15" s="4" t="str">
        <f ca="1">IF(ISERROR(MATCH(A14,INDIRECT(CONCATENATE($A$23&amp;"上課表現","!")&amp;"A1:A50"),0)),"",INDIRECT(CONCATENATE("'",$A$23&amp;"上課表現","'!C"&amp;MATCH(A14,INDIRECT(CONCATENATE($A$23&amp;"上課表現","!")&amp;"A1:A50"),0)))&amp;INDIRECT(CONCATENATE("'",$A$23&amp;"上課表現","'!D"&amp;MATCH(A14,INDIRECT(CONCATENATE($A$23&amp;"上課表現","!")&amp;"A1:A50"),0))))</f>
        <v>3ten</v>
      </c>
      <c r="B15" s="4" t="str">
        <f ca="1">IF(ISERROR(MATCH(B14,INDIRECT(CONCATENATE($A$23&amp;"上課表現","!")&amp;"A1:A50"),0)),"",INDIRECT(CONCATENATE("'",$A$23&amp;"上課表現","'!C"&amp;MATCH(B14,INDIRECT(CONCATENATE($A$23&amp;"上課表現","!")&amp;"A1:A50"),0)))&amp;INDIRECT(CONCATENATE("'",$A$23&amp;"上課表現","'!D"&amp;MATCH(B14,INDIRECT(CONCATENATE($A$23&amp;"上課表現","!")&amp;"A1:A50"),0))))</f>
        <v>11hen</v>
      </c>
      <c r="C15" s="4" t="str">
        <f ca="1">IF(ISERROR(MATCH(C14,INDIRECT(CONCATENATE($A$23&amp;"上課表現","!")&amp;"A1:A50"),0)),"",INDIRECT(CONCATENATE("'",$A$23&amp;"上課表現","'!C"&amp;MATCH(C14,INDIRECT(CONCATENATE($A$23&amp;"上課表現","!")&amp;"A1:A50"),0)))&amp;INDIRECT(CONCATENATE("'",$A$23&amp;"上課表現","'!D"&amp;MATCH(C14,INDIRECT(CONCATENATE($A$23&amp;"上課表現","!")&amp;"A1:A50"),0))))</f>
        <v>23ien</v>
      </c>
      <c r="D15" s="4" t="str">
        <f ca="1">IF(ISERROR(MATCH(D14,INDIRECT(CONCATENATE($A$23&amp;"上課表現","!")&amp;"A1:A50"),0)),"",INDIRECT(CONCATENATE("'",$A$23&amp;"上課表現","'!C"&amp;MATCH(D14,INDIRECT(CONCATENATE($A$23&amp;"上課表現","!")&amp;"A1:A50"),0)))&amp;INDIRECT(CONCATENATE("'",$A$23&amp;"上課表現","'!D"&amp;MATCH(D14,INDIRECT(CONCATENATE($A$23&amp;"上課表現","!")&amp;"A1:A50"),0))))</f>
        <v>31ven</v>
      </c>
    </row>
    <row r="16" spans="1:4" ht="24.95" customHeight="1" x14ac:dyDescent="0.25">
      <c r="A16" s="33" t="s">
        <v>120</v>
      </c>
      <c r="B16" s="33" t="s">
        <v>129</v>
      </c>
      <c r="C16" s="33" t="s">
        <v>138</v>
      </c>
      <c r="D16" s="33" t="s">
        <v>147</v>
      </c>
    </row>
    <row r="17" spans="1:4" ht="40.5" customHeight="1" x14ac:dyDescent="0.25">
      <c r="A17" s="4" t="str">
        <f ca="1">IF(ISERROR(MATCH(A16,INDIRECT(CONCATENATE($A$23&amp;"上課表現","!")&amp;"A1:A50"),0)),"",INDIRECT(CONCATENATE("'",$A$23&amp;"上課表現","'!C"&amp;MATCH(A16,INDIRECT(CONCATENATE($A$23&amp;"上課表現","!")&amp;"A1:A50"),0)))&amp;INDIRECT(CONCATENATE("'",$A$23&amp;"上課表現","'!D"&amp;MATCH(A16,INDIRECT(CONCATENATE($A$23&amp;"上課表現","!")&amp;"A1:A50"),0))))</f>
        <v xml:space="preserve">2ken </v>
      </c>
      <c r="B17" s="4" t="str">
        <f ca="1">IF(ISERROR(MATCH(B16,INDIRECT(CONCATENATE($A$23&amp;"上課表現","!")&amp;"A1:A50"),0)),"",INDIRECT(CONCATENATE("'",$A$23&amp;"上課表現","'!C"&amp;MATCH(B16,INDIRECT(CONCATENATE($A$23&amp;"上課表現","!")&amp;"A1:A50"),0)))&amp;INDIRECT(CONCATENATE("'",$A$23&amp;"上課表現","'!D"&amp;MATCH(B16,INDIRECT(CONCATENATE($A$23&amp;"上課表現","!")&amp;"A1:A50"),0))))</f>
        <v>10gen</v>
      </c>
      <c r="C17" s="4" t="str">
        <f ca="1">IF(ISERROR(MATCH(C16,INDIRECT(CONCATENATE($A$23&amp;"上課表現","!")&amp;"A1:A50"),0)),"",INDIRECT(CONCATENATE("'",$A$23&amp;"上課表現","'!C"&amp;MATCH(C16,INDIRECT(CONCATENATE($A$23&amp;"上課表現","!")&amp;"A1:A50"),0)))&amp;INDIRECT(CONCATENATE("'",$A$23&amp;"上課表現","'!D"&amp;MATCH(C16,INDIRECT(CONCATENATE($A$23&amp;"上課表現","!")&amp;"A1:A50"),0))))</f>
        <v>22jen</v>
      </c>
      <c r="D17" s="4" t="str">
        <f ca="1">IF(ISERROR(MATCH(D16,INDIRECT(CONCATENATE($A$23&amp;"上課表現","!")&amp;"A1:A50"),0)),"",INDIRECT(CONCATENATE("'",$A$23&amp;"上課表現","'!C"&amp;MATCH(D16,INDIRECT(CONCATENATE($A$23&amp;"上課表現","!")&amp;"A1:A50"),0)))&amp;INDIRECT(CONCATENATE("'",$A$23&amp;"上課表現","'!D"&amp;MATCH(D16,INDIRECT(CONCATENATE($A$23&amp;"上課表現","!")&amp;"A1:A50"),0))))</f>
        <v>30uen</v>
      </c>
    </row>
    <row r="18" spans="1:4" ht="24.95" customHeight="1" x14ac:dyDescent="0.25">
      <c r="A18" s="33" t="s">
        <v>121</v>
      </c>
      <c r="B18" s="33" t="s">
        <v>130</v>
      </c>
      <c r="C18" s="33" t="s">
        <v>139</v>
      </c>
      <c r="D18" s="33" t="s">
        <v>148</v>
      </c>
    </row>
    <row r="19" spans="1:4" ht="40.5" customHeight="1" x14ac:dyDescent="0.25">
      <c r="A19" s="4" t="str">
        <f ca="1">IF(ISERROR(MATCH(A18,INDIRECT(CONCATENATE($A$23&amp;"上課表現","!")&amp;"A1:A50"),0)),"",INDIRECT(CONCATENATE("'",$A$23&amp;"上課表現","'!C"&amp;MATCH(A18,INDIRECT(CONCATENATE($A$23&amp;"上課表現","!")&amp;"A1:A50"),0)))&amp;INDIRECT(CONCATENATE("'",$A$23&amp;"上課表現","'!D"&amp;MATCH(A18,INDIRECT(CONCATENATE($A$23&amp;"上課表現","!")&amp;"A1:A50"),0))))</f>
        <v>1bin</v>
      </c>
      <c r="B19" s="4" t="str">
        <f ca="1">IF(ISERROR(MATCH(B18,INDIRECT(CONCATENATE($A$23&amp;"上課表現","!")&amp;"A1:A50"),0)),"",INDIRECT(CONCATENATE("'",$A$23&amp;"上課表現","'!C"&amp;MATCH(B18,INDIRECT(CONCATENATE($A$23&amp;"上課表現","!")&amp;"A1:A50"),0)))&amp;INDIRECT(CONCATENATE("'",$A$23&amp;"上課表現","'!D"&amp;MATCH(B18,INDIRECT(CONCATENATE($A$23&amp;"上課表現","!")&amp;"A1:A50"),0))))</f>
        <v>9ten</v>
      </c>
      <c r="C19" s="4" t="str">
        <f ca="1">IF(ISERROR(MATCH(C18,INDIRECT(CONCATENATE($A$23&amp;"上課表現","!")&amp;"A1:A50"),0)),"",INDIRECT(CONCATENATE("'",$A$23&amp;"上課表現","'!C"&amp;MATCH(C18,INDIRECT(CONCATENATE($A$23&amp;"上課表現","!")&amp;"A1:A50"),0)))&amp;INDIRECT(CONCATENATE("'",$A$23&amp;"上課表現","'!D"&amp;MATCH(C18,INDIRECT(CONCATENATE($A$23&amp;"上課表現","!")&amp;"A1:A50"),0))))</f>
        <v>21aen</v>
      </c>
      <c r="D19" s="4" t="str">
        <f ca="1">IF(ISERROR(MATCH(D18,INDIRECT(CONCATENATE($A$23&amp;"上課表現","!")&amp;"A1:A50"),0)),"",INDIRECT(CONCATENATE("'",$A$23&amp;"上課表現","'!C"&amp;MATCH(D18,INDIRECT(CONCATENATE($A$23&amp;"上課表現","!")&amp;"A1:A50"),0)))&amp;INDIRECT(CONCATENATE("'",$A$23&amp;"上課表現","'!D"&amp;MATCH(D18,INDIRECT(CONCATENATE($A$23&amp;"上課表現","!")&amp;"A1:A50"),0))))</f>
        <v>29sen</v>
      </c>
    </row>
    <row r="20" spans="1:4" ht="33" customHeight="1" x14ac:dyDescent="0.25">
      <c r="A20" s="3" t="s">
        <v>2</v>
      </c>
      <c r="B20" s="3" t="s">
        <v>3</v>
      </c>
      <c r="C20" s="3" t="s">
        <v>4</v>
      </c>
      <c r="D20" s="3" t="s">
        <v>5</v>
      </c>
    </row>
    <row r="21" spans="1:4" x14ac:dyDescent="0.25">
      <c r="A21" s="5"/>
      <c r="B21" s="5"/>
      <c r="C21" s="5"/>
      <c r="D21" s="5"/>
    </row>
    <row r="22" spans="1:4" ht="16.5" customHeight="1" x14ac:dyDescent="0.25">
      <c r="A22" s="5"/>
      <c r="B22" s="63" t="s">
        <v>6</v>
      </c>
      <c r="C22" s="64"/>
      <c r="D22" s="6"/>
    </row>
    <row r="23" spans="1:4" ht="33.75" customHeight="1" x14ac:dyDescent="0.25">
      <c r="A23" s="7" t="s">
        <v>166</v>
      </c>
      <c r="B23" s="65"/>
      <c r="C23" s="66"/>
      <c r="D23" s="35"/>
    </row>
    <row r="24" spans="1:4" x14ac:dyDescent="0.25">
      <c r="D24" s="34"/>
    </row>
    <row r="25" spans="1:4" x14ac:dyDescent="0.25">
      <c r="D25" s="34"/>
    </row>
  </sheetData>
  <mergeCells count="1">
    <mergeCell ref="B22:C23"/>
  </mergeCells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5713" r:id="rId4" name="CommandButton1">
          <controlPr defaultSize="0" autoLine="0" r:id="rId5">
            <anchor moveWithCells="1">
              <from>
                <xdr:col>3</xdr:col>
                <xdr:colOff>828675</xdr:colOff>
                <xdr:row>0</xdr:row>
                <xdr:rowOff>9525</xdr:rowOff>
              </from>
              <to>
                <xdr:col>3</xdr:col>
                <xdr:colOff>1628775</xdr:colOff>
                <xdr:row>1</xdr:row>
                <xdr:rowOff>28575</xdr:rowOff>
              </to>
            </anchor>
          </controlPr>
        </control>
      </mc:Choice>
      <mc:Fallback>
        <control shapeId="1157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F3"/>
  <sheetViews>
    <sheetView tabSelected="1" workbookViewId="0">
      <selection activeCell="H2" sqref="H2"/>
    </sheetView>
  </sheetViews>
  <sheetFormatPr defaultRowHeight="16.5" x14ac:dyDescent="0.25"/>
  <cols>
    <col min="1" max="1" width="6.875" style="5" customWidth="1"/>
    <col min="2" max="2" width="8.375" style="5" customWidth="1"/>
    <col min="3" max="3" width="10.625" style="5" customWidth="1"/>
    <col min="4" max="4" width="14.375" style="5" customWidth="1"/>
    <col min="5" max="5" width="19.25" style="5" customWidth="1"/>
    <col min="6" max="6" width="50.75" style="43" customWidth="1"/>
    <col min="7" max="16384" width="9" style="5"/>
  </cols>
  <sheetData>
    <row r="1" spans="1:6" ht="27.75" x14ac:dyDescent="0.25">
      <c r="A1" s="67" t="s">
        <v>211</v>
      </c>
      <c r="B1" s="68"/>
      <c r="C1" s="68"/>
      <c r="D1" s="68"/>
      <c r="E1" s="68"/>
      <c r="F1" s="68"/>
    </row>
    <row r="2" spans="1:6" x14ac:dyDescent="0.25">
      <c r="A2" s="42" t="s">
        <v>205</v>
      </c>
      <c r="B2" s="42" t="s">
        <v>206</v>
      </c>
      <c r="C2" s="42" t="s">
        <v>207</v>
      </c>
      <c r="D2" s="42" t="s">
        <v>208</v>
      </c>
      <c r="E2" s="42" t="s">
        <v>209</v>
      </c>
      <c r="F2" s="42" t="s">
        <v>210</v>
      </c>
    </row>
    <row r="3" spans="1:6" x14ac:dyDescent="0.25">
      <c r="A3" s="19"/>
      <c r="B3" s="19"/>
      <c r="C3" s="44"/>
      <c r="D3" s="19"/>
      <c r="E3" s="19"/>
      <c r="F3" s="45"/>
    </row>
  </sheetData>
  <autoFilter ref="B2:B5"/>
  <mergeCells count="1">
    <mergeCell ref="A1:F1"/>
  </mergeCells>
  <phoneticPr fontId="1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6737" r:id="rId3" name="CommandButton1">
          <controlPr defaultSize="0" autoLine="0" r:id="rId4">
            <anchor moveWithCells="1">
              <from>
                <xdr:col>6</xdr:col>
                <xdr:colOff>28575</xdr:colOff>
                <xdr:row>0</xdr:row>
                <xdr:rowOff>9525</xdr:rowOff>
              </from>
              <to>
                <xdr:col>7</xdr:col>
                <xdr:colOff>142875</xdr:colOff>
                <xdr:row>0</xdr:row>
                <xdr:rowOff>342900</xdr:rowOff>
              </to>
            </anchor>
          </controlPr>
        </control>
      </mc:Choice>
      <mc:Fallback>
        <control shapeId="11673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開班及使用說明</vt:lpstr>
      <vt:lpstr>學生電腦設定</vt:lpstr>
      <vt:lpstr>sample</vt:lpstr>
      <vt:lpstr>sample上課表現</vt:lpstr>
      <vt:lpstr>sample座位表</vt:lpstr>
      <vt:lpstr>上課表現記錄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</dc:creator>
  <cp:lastModifiedBy>s01</cp:lastModifiedBy>
  <cp:lastPrinted>2016-01-25T01:18:32Z</cp:lastPrinted>
  <dcterms:created xsi:type="dcterms:W3CDTF">2015-08-30T01:44:05Z</dcterms:created>
  <dcterms:modified xsi:type="dcterms:W3CDTF">2016-05-12T07:19:36Z</dcterms:modified>
</cp:coreProperties>
</file>